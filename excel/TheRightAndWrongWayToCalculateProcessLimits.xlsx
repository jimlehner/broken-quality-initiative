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james\Downloads\"/>
    </mc:Choice>
  </mc:AlternateContent>
  <xr:revisionPtr revIDLastSave="0" documentId="13_ncr:1_{FBA4B676-FF14-4FA9-A689-5E27DB7C9680}" xr6:coauthVersionLast="47" xr6:coauthVersionMax="47" xr10:uidLastSave="{00000000-0000-0000-0000-000000000000}"/>
  <bookViews>
    <workbookView xWindow="-120" yWindow="-16320" windowWidth="29040" windowHeight="15720" xr2:uid="{00000000-000D-0000-FFFF-FFFF00000000}"/>
  </bookViews>
  <sheets>
    <sheet name="Overview" sheetId="1" r:id="rId1"/>
    <sheet name="XmR chart" sheetId="2" r:id="rId2"/>
    <sheet name="3Sigma chart" sheetId="3" r:id="rId3"/>
    <sheet name="Method Comparison" sheetId="4" r:id="rId4"/>
    <sheet name="Dat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5" l="1"/>
  <c r="B12" i="5"/>
  <c r="B11" i="5"/>
  <c r="B10" i="5"/>
  <c r="B9" i="5"/>
  <c r="B8" i="5"/>
  <c r="B7" i="5"/>
  <c r="B6" i="5"/>
  <c r="B5" i="5"/>
  <c r="B4" i="5"/>
  <c r="B3" i="5"/>
  <c r="B2" i="5"/>
  <c r="C26" i="4"/>
  <c r="D26" i="4" s="1"/>
  <c r="C25" i="4"/>
  <c r="D25" i="4" s="1"/>
  <c r="D24" i="4"/>
  <c r="C24" i="4"/>
  <c r="D23" i="4"/>
  <c r="C23" i="4"/>
  <c r="C22" i="4"/>
  <c r="D22" i="4" s="1"/>
  <c r="C21" i="4"/>
  <c r="D21" i="4" s="1"/>
  <c r="D20" i="4"/>
  <c r="C20" i="4"/>
  <c r="D19" i="4"/>
  <c r="C19" i="4"/>
  <c r="C18" i="4"/>
  <c r="D18" i="4" s="1"/>
  <c r="C17" i="4"/>
  <c r="D17" i="4" s="1"/>
  <c r="C16" i="4"/>
  <c r="D16" i="4" s="1"/>
  <c r="I15" i="4"/>
  <c r="I16" i="4" s="1"/>
  <c r="I17" i="4" s="1"/>
  <c r="I18" i="4" s="1"/>
  <c r="I19" i="4" s="1"/>
  <c r="I20" i="4" s="1"/>
  <c r="I21" i="4" s="1"/>
  <c r="I22" i="4" s="1"/>
  <c r="I23" i="4" s="1"/>
  <c r="I24" i="4" s="1"/>
  <c r="I25" i="4" s="1"/>
  <c r="I26" i="4" s="1"/>
  <c r="F15" i="4"/>
  <c r="F16" i="4" s="1"/>
  <c r="F17" i="4" s="1"/>
  <c r="F18" i="4" s="1"/>
  <c r="F19" i="4" s="1"/>
  <c r="F20" i="4" s="1"/>
  <c r="F21" i="4" s="1"/>
  <c r="F22" i="4" s="1"/>
  <c r="F23" i="4" s="1"/>
  <c r="F24" i="4" s="1"/>
  <c r="F25" i="4" s="1"/>
  <c r="F26" i="4" s="1"/>
  <c r="C15" i="4"/>
  <c r="D15" i="4" s="1"/>
  <c r="I13" i="4"/>
  <c r="C13" i="4"/>
  <c r="D13" i="4" s="1"/>
  <c r="I12" i="4"/>
  <c r="C12" i="4"/>
  <c r="D12" i="4" s="1"/>
  <c r="I11" i="4"/>
  <c r="D11" i="4"/>
  <c r="C11" i="4"/>
  <c r="I10" i="4"/>
  <c r="C10" i="4"/>
  <c r="D10" i="4" s="1"/>
  <c r="I9" i="4"/>
  <c r="D9" i="4"/>
  <c r="C9" i="4"/>
  <c r="I8" i="4"/>
  <c r="C8" i="4"/>
  <c r="D8" i="4" s="1"/>
  <c r="I7" i="4"/>
  <c r="D7" i="4"/>
  <c r="C7" i="4"/>
  <c r="I6" i="4"/>
  <c r="C6" i="4"/>
  <c r="D6" i="4" s="1"/>
  <c r="I5" i="4"/>
  <c r="C5" i="4"/>
  <c r="D5" i="4" s="1"/>
  <c r="I4" i="4"/>
  <c r="D4" i="4"/>
  <c r="C4" i="4"/>
  <c r="I3" i="4"/>
  <c r="J2" i="4" s="1"/>
  <c r="C3" i="4"/>
  <c r="D3" i="4" s="1"/>
  <c r="F2" i="4"/>
  <c r="C2" i="4"/>
  <c r="D2" i="4" s="1"/>
  <c r="B13" i="3"/>
  <c r="B12" i="3"/>
  <c r="B11" i="3"/>
  <c r="B10" i="3"/>
  <c r="B9" i="3"/>
  <c r="B8" i="3"/>
  <c r="B7" i="3"/>
  <c r="B6" i="3"/>
  <c r="B5" i="3"/>
  <c r="B4" i="3"/>
  <c r="D3" i="3"/>
  <c r="D4" i="3" s="1"/>
  <c r="D5" i="3" s="1"/>
  <c r="D6" i="3" s="1"/>
  <c r="D7" i="3" s="1"/>
  <c r="D8" i="3" s="1"/>
  <c r="D9" i="3" s="1"/>
  <c r="D10" i="3" s="1"/>
  <c r="D11" i="3" s="1"/>
  <c r="D12" i="3" s="1"/>
  <c r="D13" i="3" s="1"/>
  <c r="B3" i="3"/>
  <c r="G2" i="3"/>
  <c r="F2" i="3" s="1"/>
  <c r="F3" i="3" s="1"/>
  <c r="F4" i="3" s="1"/>
  <c r="F5" i="3" s="1"/>
  <c r="F6" i="3" s="1"/>
  <c r="F7" i="3" s="1"/>
  <c r="F8" i="3" s="1"/>
  <c r="F9" i="3" s="1"/>
  <c r="F10" i="3" s="1"/>
  <c r="F11" i="3" s="1"/>
  <c r="F12" i="3" s="1"/>
  <c r="F13" i="3" s="1"/>
  <c r="D2" i="3"/>
  <c r="B2" i="3"/>
  <c r="G13" i="2"/>
  <c r="B13" i="2"/>
  <c r="G12" i="2"/>
  <c r="B12" i="2"/>
  <c r="G11" i="2"/>
  <c r="B11" i="2"/>
  <c r="G10" i="2"/>
  <c r="B10" i="2"/>
  <c r="G9" i="2"/>
  <c r="B9" i="2"/>
  <c r="G8" i="2"/>
  <c r="B8" i="2"/>
  <c r="G7" i="2"/>
  <c r="B7" i="2"/>
  <c r="G6" i="2"/>
  <c r="B6" i="2"/>
  <c r="G5" i="2"/>
  <c r="B5" i="2"/>
  <c r="G4" i="2"/>
  <c r="B4" i="2"/>
  <c r="G3" i="2"/>
  <c r="H2" i="2" s="1"/>
  <c r="D3" i="2"/>
  <c r="D4" i="2" s="1"/>
  <c r="D5" i="2" s="1"/>
  <c r="D6" i="2" s="1"/>
  <c r="D7" i="2" s="1"/>
  <c r="D8" i="2" s="1"/>
  <c r="D9" i="2" s="1"/>
  <c r="D10" i="2" s="1"/>
  <c r="D11" i="2" s="1"/>
  <c r="D12" i="2" s="1"/>
  <c r="D13" i="2" s="1"/>
  <c r="B3" i="2"/>
  <c r="D2" i="2"/>
  <c r="B2" i="2"/>
  <c r="H2" i="4" l="1"/>
  <c r="H3" i="4" s="1"/>
  <c r="H4" i="4" s="1"/>
  <c r="H5" i="4" s="1"/>
  <c r="H6" i="4" s="1"/>
  <c r="H7" i="4" s="1"/>
  <c r="H8" i="4" s="1"/>
  <c r="H9" i="4" s="1"/>
  <c r="H10" i="4" s="1"/>
  <c r="H11" i="4" s="1"/>
  <c r="H12" i="4" s="1"/>
  <c r="H13" i="4" s="1"/>
  <c r="F3" i="4"/>
  <c r="F4" i="4" s="1"/>
  <c r="F5" i="4" s="1"/>
  <c r="F6" i="4" s="1"/>
  <c r="F7" i="4" s="1"/>
  <c r="F8" i="4" s="1"/>
  <c r="F9" i="4" s="1"/>
  <c r="F10" i="4" s="1"/>
  <c r="F11" i="4" s="1"/>
  <c r="F12" i="4" s="1"/>
  <c r="F13" i="4" s="1"/>
  <c r="I2" i="2"/>
  <c r="I3" i="2" s="1"/>
  <c r="I4" i="2" s="1"/>
  <c r="I5" i="2" s="1"/>
  <c r="I6" i="2" s="1"/>
  <c r="I7" i="2" s="1"/>
  <c r="I8" i="2" s="1"/>
  <c r="I9" i="2" s="1"/>
  <c r="I10" i="2" s="1"/>
  <c r="I11" i="2" s="1"/>
  <c r="I12" i="2" s="1"/>
  <c r="I13" i="2" s="1"/>
  <c r="H3" i="2"/>
  <c r="H4" i="2" s="1"/>
  <c r="H5" i="2" s="1"/>
  <c r="H6" i="2" s="1"/>
  <c r="H7" i="2" s="1"/>
  <c r="H8" i="2" s="1"/>
  <c r="H9" i="2" s="1"/>
  <c r="H10" i="2" s="1"/>
  <c r="H11" i="2" s="1"/>
  <c r="H12" i="2" s="1"/>
  <c r="H13" i="2" s="1"/>
  <c r="F2" i="2"/>
  <c r="F3" i="2" s="1"/>
  <c r="F4" i="2" s="1"/>
  <c r="F5" i="2" s="1"/>
  <c r="F6" i="2" s="1"/>
  <c r="F7" i="2" s="1"/>
  <c r="F8" i="2" s="1"/>
  <c r="F9" i="2" s="1"/>
  <c r="F10" i="2" s="1"/>
  <c r="F11" i="2" s="1"/>
  <c r="F12" i="2" s="1"/>
  <c r="F13" i="2" s="1"/>
  <c r="K2" i="4"/>
  <c r="K3" i="4" s="1"/>
  <c r="K4" i="4" s="1"/>
  <c r="K5" i="4" s="1"/>
  <c r="K6" i="4" s="1"/>
  <c r="K7" i="4" s="1"/>
  <c r="K8" i="4" s="1"/>
  <c r="K9" i="4" s="1"/>
  <c r="K10" i="4" s="1"/>
  <c r="K11" i="4" s="1"/>
  <c r="K12" i="4" s="1"/>
  <c r="K13" i="4" s="1"/>
  <c r="J3" i="4"/>
  <c r="J4" i="4" s="1"/>
  <c r="J5" i="4" s="1"/>
  <c r="J6" i="4" s="1"/>
  <c r="J7" i="4" s="1"/>
  <c r="J8" i="4" s="1"/>
  <c r="J9" i="4" s="1"/>
  <c r="J10" i="4" s="1"/>
  <c r="J11" i="4" s="1"/>
  <c r="J12" i="4" s="1"/>
  <c r="J13" i="4" s="1"/>
  <c r="G15" i="4"/>
  <c r="G16" i="4" s="1"/>
  <c r="G17" i="4" s="1"/>
  <c r="G18" i="4" s="1"/>
  <c r="G19" i="4" s="1"/>
  <c r="G20" i="4" s="1"/>
  <c r="G21" i="4" s="1"/>
  <c r="G22" i="4" s="1"/>
  <c r="G23" i="4" s="1"/>
  <c r="G24" i="4" s="1"/>
  <c r="G25" i="4" s="1"/>
  <c r="G26" i="4" s="1"/>
  <c r="E2" i="2"/>
  <c r="E3" i="2" s="1"/>
  <c r="E4" i="2" s="1"/>
  <c r="E5" i="2" s="1"/>
  <c r="E6" i="2" s="1"/>
  <c r="E7" i="2" s="1"/>
  <c r="E8" i="2" s="1"/>
  <c r="E9" i="2" s="1"/>
  <c r="E10" i="2" s="1"/>
  <c r="E11" i="2" s="1"/>
  <c r="E12" i="2" s="1"/>
  <c r="E13" i="2" s="1"/>
  <c r="G2" i="4"/>
  <c r="G3" i="4" s="1"/>
  <c r="G4" i="4" s="1"/>
  <c r="G5" i="4" s="1"/>
  <c r="G6" i="4" s="1"/>
  <c r="G7" i="4" s="1"/>
  <c r="G8" i="4" s="1"/>
  <c r="G9" i="4" s="1"/>
  <c r="G10" i="4" s="1"/>
  <c r="G11" i="4" s="1"/>
  <c r="G12" i="4" s="1"/>
  <c r="G13" i="4" s="1"/>
  <c r="H15" i="4"/>
  <c r="H16" i="4" s="1"/>
  <c r="H17" i="4" s="1"/>
  <c r="H18" i="4" s="1"/>
  <c r="H19" i="4" s="1"/>
  <c r="H20" i="4" s="1"/>
  <c r="H21" i="4" s="1"/>
  <c r="H22" i="4" s="1"/>
  <c r="H23" i="4" s="1"/>
  <c r="H24" i="4" s="1"/>
  <c r="H25" i="4" s="1"/>
  <c r="H26" i="4" s="1"/>
  <c r="G3" i="3"/>
  <c r="G4" i="3" s="1"/>
  <c r="G5" i="3" s="1"/>
  <c r="G6" i="3" s="1"/>
  <c r="G7" i="3" s="1"/>
  <c r="G8" i="3" s="1"/>
  <c r="G9" i="3" s="1"/>
  <c r="G10" i="3" s="1"/>
  <c r="G11" i="3" s="1"/>
  <c r="G12" i="3" s="1"/>
  <c r="G13" i="3" s="1"/>
  <c r="E2" i="3"/>
  <c r="E3" i="3" s="1"/>
  <c r="E4" i="3" s="1"/>
  <c r="E5" i="3" s="1"/>
  <c r="E6" i="3" s="1"/>
  <c r="E7" i="3" s="1"/>
  <c r="E8" i="3" s="1"/>
  <c r="E9" i="3" s="1"/>
  <c r="E10" i="3" s="1"/>
  <c r="E11" i="3" s="1"/>
  <c r="E12" i="3" s="1"/>
  <c r="E13" i="3"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<sst xmlns="http://schemas.openxmlformats.org/spreadsheetml/2006/main" count="108" uniqueCount="32">
  <si>
    <t>BrokenQuality.com</t>
  </si>
  <si>
    <t>Month-Year</t>
  </si>
  <si>
    <t>Month</t>
  </si>
  <si>
    <t>Rate</t>
  </si>
  <si>
    <t>X-Bar</t>
  </si>
  <si>
    <t>UPL</t>
  </si>
  <si>
    <t>LPL</t>
  </si>
  <si>
    <t>mR</t>
  </si>
  <si>
    <t>Ave. mR</t>
  </si>
  <si>
    <t>URL</t>
  </si>
  <si>
    <t>Jan-2024</t>
  </si>
  <si>
    <t>Feb-2024</t>
  </si>
  <si>
    <t>Mar-2024</t>
  </si>
  <si>
    <t>Apr-2024</t>
  </si>
  <si>
    <t>May-2024</t>
  </si>
  <si>
    <t>Aug-2024</t>
  </si>
  <si>
    <t>Oct-2024</t>
  </si>
  <si>
    <t>Nov-2024</t>
  </si>
  <si>
    <t>Dec-2024</t>
  </si>
  <si>
    <t>Stdev</t>
  </si>
  <si>
    <t>Method</t>
  </si>
  <si>
    <t>Month-Method</t>
  </si>
  <si>
    <t>Understanding the difference</t>
  </si>
  <si>
    <t>XmR</t>
  </si>
  <si>
    <t>MonthYear</t>
  </si>
  <si>
    <t>Civilian Unemployment Rate (%)</t>
  </si>
  <si>
    <t>Notes</t>
  </si>
  <si>
    <t>Civilian unemployment rate</t>
  </si>
  <si>
    <r>
      <t xml:space="preserve">This workbook illustrates why using the standard deviation statistic to calculate process limits yields INCORRECT results. The RIGHT way to calculate process limits uses the formulas:
UPL = Average + (2.660*Ave. mR)
LPL = Average - (2.660*Ave. mR)
URL = 3.268*Ave. mR
Here, </t>
    </r>
    <r>
      <rPr>
        <i/>
        <sz val="12"/>
        <color rgb="FF000000"/>
        <rFont val="Montserrat"/>
      </rPr>
      <t>Average</t>
    </r>
    <r>
      <rPr>
        <sz val="12"/>
        <color rgb="FF000000"/>
        <rFont val="Montserrat"/>
      </rPr>
      <t xml:space="preserve"> is the mean of the process data, 2.660 and 3.268 are scaling factors, and </t>
    </r>
    <r>
      <rPr>
        <i/>
        <sz val="12"/>
        <color rgb="FF000000"/>
        <rFont val="Montserrat"/>
      </rPr>
      <t>Ave. mR</t>
    </r>
    <r>
      <rPr>
        <sz val="12"/>
        <color rgb="FF000000"/>
        <rFont val="Montserrat"/>
      </rPr>
      <t xml:space="preserve"> is the average of the moving ranges.
This workbook contains five sheets (including this one). The sheet titled </t>
    </r>
    <r>
      <rPr>
        <i/>
        <sz val="12"/>
        <color rgb="FF000000"/>
        <rFont val="Montserrat"/>
      </rPr>
      <t>XmR chart</t>
    </r>
    <r>
      <rPr>
        <sz val="12"/>
        <color rgb="FF000000"/>
        <rFont val="Montserrat"/>
      </rPr>
      <t xml:space="preserve"> constructs an XmR chart using the forumlas shown above. 
The sheet titled </t>
    </r>
    <r>
      <rPr>
        <i/>
        <sz val="12"/>
        <color rgb="FF000000"/>
        <rFont val="Montserrat"/>
      </rPr>
      <t>3*Sigma chart</t>
    </r>
    <r>
      <rPr>
        <sz val="12"/>
        <color rgb="FF000000"/>
        <rFont val="Montserrat"/>
      </rPr>
      <t xml:space="preserve"> constructs a 3*Sigma chart using the incorrect formula of:
Average +/- 3*Standard Deviation. 
The sheet titled </t>
    </r>
    <r>
      <rPr>
        <i/>
        <sz val="12"/>
        <color rgb="FF000000"/>
        <rFont val="Montserrat"/>
      </rPr>
      <t>Method Comparison</t>
    </r>
    <r>
      <rPr>
        <sz val="12"/>
        <color rgb="FF000000"/>
        <rFont val="Montserrat"/>
      </rPr>
      <t xml:space="preserve"> plots both the XmR chart and the 3*Sigma chart on the same plot to illustrate how adding and subtracting three times the standard deviation to the mean increases the width of the process limits. 
The sheet titled </t>
    </r>
    <r>
      <rPr>
        <i/>
        <sz val="12"/>
        <color rgb="FF000000"/>
        <rFont val="Montserrat"/>
      </rPr>
      <t>Data</t>
    </r>
    <r>
      <rPr>
        <sz val="12"/>
        <color rgb="FF000000"/>
        <rFont val="Montserrat"/>
      </rPr>
      <t xml:space="preserve"> contains the U.S. civilian unemployment rates used to construct the charts.
If you are interested in learning more about why the standard deviation statistic yields incorrect results visit:
brokenquality.com/how-to-calculate-process-limits
brokenquality.com/book
If you have question, send us an email:
James.Lehner@gmail.com or QualityIsBroken@gmail.com.</t>
    </r>
  </si>
  <si>
    <t>3*Sigma chart</t>
  </si>
  <si>
    <t>XmR chart</t>
  </si>
  <si>
    <r>
      <t xml:space="preserve">For a dataset composed of logically comparable individual values, process limits should </t>
    </r>
    <r>
      <rPr>
        <b/>
        <sz val="12"/>
        <color theme="1"/>
        <rFont val="Montserrat"/>
      </rPr>
      <t>ALWAYS</t>
    </r>
    <r>
      <rPr>
        <sz val="12"/>
        <color theme="1"/>
        <rFont val="Montserrat"/>
      </rPr>
      <t xml:space="preserve"> be calculated by adding and subtractng the product of the 2.660 scaling factor and the average moving range to the mean. Process limits calculated in this way ensure we don't "waste too much time looking unnecessarily for trouble" (Shewhart, </t>
    </r>
    <r>
      <rPr>
        <i/>
        <sz val="12"/>
        <color theme="1"/>
        <rFont val="Montserrat"/>
      </rPr>
      <t>Economic Control of Quality of Manufactured Product, 147).</t>
    </r>
    <r>
      <rPr>
        <sz val="12"/>
        <color theme="1"/>
        <rFont val="Montserrat"/>
      </rPr>
      <t xml:space="preserve"> 
The standard deviation, by way of its calculation, assumes that "the data can be logically considered to be one large homogeneous collection of values, all obtained from the same underlying and unchanging process" (Wheeler, </t>
    </r>
    <r>
      <rPr>
        <i/>
        <sz val="12"/>
        <color theme="1"/>
        <rFont val="Montserrat"/>
      </rPr>
      <t>Making Sense of Data</t>
    </r>
    <r>
      <rPr>
        <sz val="12"/>
        <color theme="1"/>
        <rFont val="Montserrat"/>
      </rPr>
      <t xml:space="preserve">, 162). This assumption sits at odds with the intent of the XmR chart, which "examines a collection of values to see if they might have come from one underlying or unchanging process, or if they show evidence of process differences" (Wheeler, </t>
    </r>
    <r>
      <rPr>
        <i/>
        <sz val="12"/>
        <color theme="1"/>
        <rFont val="Montserrat"/>
      </rPr>
      <t>Making Sense of Data</t>
    </r>
    <r>
      <rPr>
        <sz val="12"/>
        <color theme="1"/>
        <rFont val="Montserrat"/>
      </rPr>
      <t>, 161).
The wider limits that result from using the standard deviation statisic are incapable of discriminating signals from noise. The only way to do that is to use the appropriate within-subgroup measure of dispersion which, for a chart of individual values and a moving range (XmR chart), is the average moving range.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</si>
</sst>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mmm\-yyyy"/>
  </numFmts>
  <fonts count="14" x14ac:knownFonts="1">
    <font>
      <sz val="10"/>
      <color rgb="FF000000"/>
      <name val="Arial"/>
      <scheme val="minor"/>
    </font>
    <font>
      <sz val="10"/>
      <color theme="1"/>
      <name val="Arial"/>
      <family val="2"/>
      <scheme val="minor"/>
    </font>
    <font>
      <sz val="10"/>
      <name val="Arial"/>
      <family val="2"/>
    </font>
    <font>
      <b/>
      <sz val="16"/>
      <color theme="1"/>
      <name val="Montserrat"/>
    </font>
    <font>
      <b/>
      <u/>
      <sz val="16"/>
      <color rgb="FF0000FF"/>
      <name val="Montserrat"/>
    </font>
    <font>
      <sz val="10"/>
      <color theme="1"/>
      <name val="Arial"/>
      <family val="2"/>
    </font>
    <font>
      <sz val="12"/>
      <color theme="1"/>
      <name val="Montserrat"/>
    </font>
    <font>
      <u/>
      <sz val="10"/>
      <color rgb="FF1155CC"/>
      <name val="Arial"/>
      <family val="2"/>
    </font>
    <font>
      <b/>
      <sz val="12"/>
      <color theme="1"/>
      <name val="Montserrat"/>
    </font>
    <font>
      <i/>
      <sz val="12"/>
      <color theme="1"/>
      <name val="Montserrat"/>
    </font>
    <font>
      <sz val="12"/>
      <color rgb="FF000000"/>
      <name val="Montserrat"/>
    </font>
    <font>
      <i/>
      <sz val="12"/>
      <color rgb="FF000000"/>
      <name val="Montserrat"/>
    </font>
    <font>
      <b/>
      <sz val="16"/>
      <color rgb="FFC00000"/>
      <name val="Montserrat"/>
    </font>
    <font>
      <sz val="10"/>
      <color rgb="FFC00000"/>
      <name val="Arial"/>
      <family val="2"/>
    </font>
  </fonts>
  <fills count="2">
    <fill>
      <patternFill patternType="none"/>
    </fill>
    <fill>
      <patternFill patternType="gray125"/>
    </fill>
  </fills>
  <borders count="15">
    <border>
      <left/>
      <right/>
      <top/>
      <bottom/>
      <diagonal/>
    </border>
    <border>
      <left style="thin">
        <color rgb="FFB7B7B7"/>
      </left>
      <right/>
      <top style="thin">
        <color rgb="FFB7B7B7"/>
      </top>
      <bottom/>
      <diagonal/>
    </border>
    <border>
      <left/>
      <right/>
      <top style="thin">
        <color rgb="FFB7B7B7"/>
      </top>
      <bottom/>
      <diagonal/>
    </border>
    <border>
      <left/>
      <right style="thin">
        <color rgb="FFB7B7B7"/>
      </right>
      <top style="thin">
        <color rgb="FFB7B7B7"/>
      </top>
      <bottom/>
      <diagonal/>
    </border>
    <border>
      <left style="thin">
        <color rgb="FFB7B7B7"/>
      </left>
      <right/>
      <top/>
      <bottom/>
      <diagonal/>
    </border>
    <border>
      <left/>
      <right style="thin">
        <color rgb="FFB7B7B7"/>
      </right>
      <top/>
      <bottom/>
      <diagonal/>
    </border>
    <border>
      <left/>
      <right/>
      <top/>
      <bottom style="thin">
        <color rgb="FFB7B7B7"/>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s>
  <cellStyleXfs count="1">
    <xf numFmtId="0" fontId="0" fillId="0" borderId="0"/>
  </cellStyleXfs>
  <cellXfs count="47">
    <xf numFmtId="0" fontId="0" fillId="0" borderId="0" xfId="0"/>
    <xf numFmtId="0" fontId="5" fillId="0" borderId="6" xfId="0" applyFont="1" applyBorder="1" applyAlignment="1">
      <alignment horizontal="left"/>
    </xf>
    <xf numFmtId="0" fontId="5" fillId="0" borderId="6" xfId="0" applyFont="1" applyBorder="1"/>
    <xf numFmtId="0" fontId="5" fillId="0" borderId="6" xfId="0" applyFont="1" applyBorder="1" applyAlignment="1">
      <alignment horizontal="right"/>
    </xf>
    <xf numFmtId="0" fontId="5" fillId="0" borderId="0" xfId="0" applyFont="1"/>
    <xf numFmtId="0" fontId="5" fillId="0" borderId="0" xfId="0" applyFont="1" applyAlignment="1">
      <alignment horizontal="left"/>
    </xf>
    <xf numFmtId="0" fontId="5" fillId="0" borderId="0" xfId="0" applyFont="1" applyAlignment="1">
      <alignment horizontal="right"/>
    </xf>
    <xf numFmtId="2"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left"/>
    </xf>
    <xf numFmtId="0" fontId="1" fillId="0" borderId="6" xfId="0" applyFont="1" applyBorder="1" applyAlignment="1">
      <alignment horizontal="right"/>
    </xf>
    <xf numFmtId="2" fontId="1" fillId="0" borderId="0" xfId="0" applyNumberFormat="1" applyFont="1" applyAlignment="1">
      <alignment horizontal="right"/>
    </xf>
    <xf numFmtId="0" fontId="1" fillId="0" borderId="0" xfId="0" applyFont="1" applyAlignment="1">
      <alignment horizontal="right"/>
    </xf>
    <xf numFmtId="0" fontId="7" fillId="0" borderId="0" xfId="0" applyFont="1" applyAlignment="1">
      <alignment horizontal="right"/>
    </xf>
    <xf numFmtId="0" fontId="1" fillId="0" borderId="0" xfId="0" applyFont="1" applyAlignment="1">
      <alignment horizontal="left"/>
    </xf>
    <xf numFmtId="0" fontId="3" fillId="0" borderId="0" xfId="0" applyFont="1" applyAlignment="1">
      <alignment horizontal="center"/>
    </xf>
    <xf numFmtId="0" fontId="2" fillId="0" borderId="0" xfId="0" applyFont="1"/>
    <xf numFmtId="0" fontId="4" fillId="0" borderId="1" xfId="0" applyFont="1" applyBorder="1" applyAlignment="1">
      <alignment horizontal="center"/>
    </xf>
    <xf numFmtId="0" fontId="2" fillId="0" borderId="2" xfId="0" applyFont="1" applyBorder="1"/>
    <xf numFmtId="0" fontId="2" fillId="0" borderId="3" xfId="0" applyFont="1" applyBorder="1"/>
    <xf numFmtId="0" fontId="10" fillId="0" borderId="7"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0" xfId="0" applyFont="1" applyAlignment="1">
      <alignment horizontal="center" vertical="center" wrapText="1"/>
    </xf>
    <xf numFmtId="0" fontId="10" fillId="0" borderId="11" xfId="0" applyFont="1" applyBorder="1" applyAlignment="1">
      <alignment horizontal="center" vertical="center" wrapText="1"/>
    </xf>
    <xf numFmtId="0" fontId="10" fillId="0" borderId="12" xfId="0" applyFont="1" applyBorder="1" applyAlignment="1">
      <alignment horizontal="center" vertical="center" wrapText="1"/>
    </xf>
    <xf numFmtId="0" fontId="10" fillId="0" borderId="13" xfId="0" applyFont="1" applyBorder="1" applyAlignment="1">
      <alignment horizontal="center" vertical="center" wrapText="1"/>
    </xf>
    <xf numFmtId="0" fontId="10" fillId="0" borderId="14" xfId="0" applyFont="1" applyBorder="1" applyAlignment="1">
      <alignment horizontal="center" vertical="center" wrapText="1"/>
    </xf>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1" fillId="0" borderId="0" xfId="0" applyFont="1" applyAlignment="1">
      <alignment horizontal="center"/>
    </xf>
    <xf numFmtId="0" fontId="1" fillId="0" borderId="5" xfId="0" applyFont="1" applyBorder="1" applyAlignment="1">
      <alignment horizontal="center"/>
    </xf>
    <xf numFmtId="0" fontId="5" fillId="0" borderId="0" xfId="0" applyFont="1" applyAlignment="1">
      <alignment horizontal="left" vertical="center" wrapText="1"/>
    </xf>
    <xf numFmtId="0" fontId="6" fillId="0" borderId="7" xfId="0" applyFont="1" applyBorder="1" applyAlignment="1">
      <alignment horizontal="center" vertical="top" wrapText="1"/>
    </xf>
    <xf numFmtId="0" fontId="6" fillId="0" borderId="8" xfId="0" applyFont="1" applyBorder="1" applyAlignment="1">
      <alignment horizontal="center" vertical="top" wrapText="1"/>
    </xf>
    <xf numFmtId="0" fontId="6" fillId="0" borderId="9" xfId="0" applyFont="1" applyBorder="1" applyAlignment="1">
      <alignment horizontal="center" vertical="top" wrapText="1"/>
    </xf>
    <xf numFmtId="0" fontId="6" fillId="0" borderId="10" xfId="0" applyFont="1" applyBorder="1" applyAlignment="1">
      <alignment horizontal="center" vertical="top" wrapText="1"/>
    </xf>
    <xf numFmtId="0" fontId="6" fillId="0" borderId="0" xfId="0" applyFont="1" applyAlignment="1">
      <alignment horizontal="center" vertical="top" wrapText="1"/>
    </xf>
    <xf numFmtId="0" fontId="6" fillId="0" borderId="11" xfId="0" applyFont="1" applyBorder="1" applyAlignment="1">
      <alignment horizontal="center" vertical="top" wrapText="1"/>
    </xf>
    <xf numFmtId="0" fontId="6" fillId="0" borderId="12" xfId="0" applyFont="1" applyBorder="1" applyAlignment="1">
      <alignment horizontal="center" vertical="top" wrapText="1"/>
    </xf>
    <xf numFmtId="0" fontId="6" fillId="0" borderId="13" xfId="0" applyFont="1" applyBorder="1" applyAlignment="1">
      <alignment horizontal="center" vertical="top" wrapText="1"/>
    </xf>
    <xf numFmtId="0" fontId="6" fillId="0" borderId="14" xfId="0" applyFont="1" applyBorder="1" applyAlignment="1">
      <alignment horizontal="center" vertical="top" wrapText="1"/>
    </xf>
    <xf numFmtId="0" fontId="12" fillId="0" borderId="0" xfId="0" applyFont="1" applyAlignment="1">
      <alignment horizontal="center"/>
    </xf>
    <xf numFmtId="0" fontId="13" fillId="0" borderId="0" xfId="0" applyFont="1"/>
  </cellXfs>
  <cellStyles count="1">
    <cellStyle name="Normal" xfId="0" builtinId="0"/>
  </cellStyles>
  <dxfs count="3">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Structure" Target="richData/rdrichvaluestructur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 Target="richData/rdrichvalue.xml"/><Relationship Id="rId5" Type="http://schemas.openxmlformats.org/officeDocument/2006/relationships/worksheet" Target="worksheets/sheet5.xml"/><Relationship Id="rId10"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sheetMetadata" Target="metadata.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'XmR chart'!$C$1</c:f>
              <c:strCache>
                <c:ptCount val="1"/>
                <c:pt idx="0">
                  <c:v>Rate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'XmR chart'!$B$2:$B$13</c:f>
              <c:strCache>
                <c:ptCount val="12"/>
                <c:pt idx="0">
                  <c:v>Jan</c:v>
                </c:pt>
                <c:pt idx="1">
                  <c:v>Feb</c:v>
                </c:pt>
                <c:pt idx="2">
                  <c:v>Mar</c:v>
                </c:pt>
                <c:pt idx="3">
                  <c:v>Apr</c:v>
                </c:pt>
                <c:pt idx="4">
                  <c:v>May</c:v>
                </c:pt>
                <c:pt idx="5">
                  <c:v>454</c:v>
                </c:pt>
                <c:pt idx="6">
                  <c:v>454</c:v>
                </c:pt>
                <c:pt idx="7">
                  <c:v>Aug</c:v>
                </c:pt>
                <c:pt idx="8">
                  <c:v>455</c:v>
                </c:pt>
                <c:pt idx="9">
                  <c:v>Oct</c:v>
                </c:pt>
                <c:pt idx="10">
                  <c:v>Nov</c:v>
                </c:pt>
                <c:pt idx="11">
                  <c:v>Dec</c:v>
                </c:pt>
              </c:strCache>
            </c:strRef>
          </c:cat>
          <c:val>
            <c:numRef>
              <c:f>'XmR chart'!$C$2:$C$13</c:f>
              <c:numCache>
                <c:formatCode>General</c:formatCode>
                <c:ptCount val="12"/>
                <c:pt idx="0">
                  <c:v>3.7</c:v>
                </c:pt>
                <c:pt idx="1">
                  <c:v>3.9</c:v>
                </c:pt>
                <c:pt idx="2">
                  <c:v>3.9</c:v>
                </c:pt>
                <c:pt idx="3">
                  <c:v>3.9</c:v>
                </c:pt>
                <c:pt idx="4" formatCode="0.0">
                  <c:v>4</c:v>
                </c:pt>
                <c:pt idx="5">
                  <c:v>4.0999999999999996</c:v>
                </c:pt>
                <c:pt idx="6">
                  <c:v>4.2</c:v>
                </c:pt>
                <c:pt idx="7">
                  <c:v>4.2</c:v>
                </c:pt>
                <c:pt idx="8">
                  <c:v>4.0999999999999996</c:v>
                </c:pt>
                <c:pt idx="9">
                  <c:v>4.0999999999999996</c:v>
                </c:pt>
                <c:pt idx="10">
                  <c:v>4.2</c:v>
                </c:pt>
                <c:pt idx="11">
                  <c:v>4.0999999999999996</c:v>
                </c:pt>
              </c:numCache>
            </c:numRef>
          </c:val>
          <c:smooth val="0"/>
          <c:extLst>
            <c:ext xmlns:c16="http://schemas.microsoft.com/office/drawing/2014/chart" uri="{C3380CC4-5D6E-409C-BE32-E72D297353CC}">
              <c16:uniqueId val="{00000005-E1AB-482C-9B6E-C6B415F32112}"/>
            </c:ext>
          </c:extLst>
        </c:ser>
        <c:ser>
          <c:idx val="1"/>
          <c:order val="1"/>
          <c:tx>
            <c:strRef>
              <c:f>'XmR chart'!$D$1</c:f>
              <c:strCache>
                <c:ptCount val="1"/>
                <c:pt idx="0">
                  <c:v>X-Bar</c:v>
                </c:pt>
              </c:strCache>
            </c:strRef>
          </c:tx>
          <c:spPr>
            <a:ln w="28575" cap="rnd">
              <a:solidFill>
                <a:schemeClr val="tx1"/>
              </a:solidFill>
              <a:round/>
            </a:ln>
            <a:effectLst/>
          </c:spPr>
          <c:marker>
            <c:symbol val="none"/>
          </c:marker>
          <c:cat>
            <c:strRef>
              <c:f>'XmR chart'!$B$2:$B$13</c:f>
              <c:strCache>
                <c:ptCount val="12"/>
                <c:pt idx="0">
                  <c:v>Jan</c:v>
                </c:pt>
                <c:pt idx="1">
                  <c:v>Feb</c:v>
                </c:pt>
                <c:pt idx="2">
                  <c:v>Mar</c:v>
                </c:pt>
                <c:pt idx="3">
                  <c:v>Apr</c:v>
                </c:pt>
                <c:pt idx="4">
                  <c:v>May</c:v>
                </c:pt>
                <c:pt idx="5">
                  <c:v>454</c:v>
                </c:pt>
                <c:pt idx="6">
                  <c:v>454</c:v>
                </c:pt>
                <c:pt idx="7">
                  <c:v>Aug</c:v>
                </c:pt>
                <c:pt idx="8">
                  <c:v>455</c:v>
                </c:pt>
                <c:pt idx="9">
                  <c:v>Oct</c:v>
                </c:pt>
                <c:pt idx="10">
                  <c:v>Nov</c:v>
                </c:pt>
                <c:pt idx="11">
                  <c:v>Dec</c:v>
                </c:pt>
              </c:strCache>
            </c:strRef>
          </c:cat>
          <c:val>
            <c:numRef>
              <c:f>'XmR chart'!$D$2:$D$13</c:f>
              <c:numCache>
                <c:formatCode>0.00</c:formatCode>
                <c:ptCount val="12"/>
                <c:pt idx="0">
                  <c:v>4.0333333333333341</c:v>
                </c:pt>
                <c:pt idx="1">
                  <c:v>4.0333333333333341</c:v>
                </c:pt>
                <c:pt idx="2">
                  <c:v>4.0333333333333341</c:v>
                </c:pt>
                <c:pt idx="3">
                  <c:v>4.0333333333333341</c:v>
                </c:pt>
                <c:pt idx="4">
                  <c:v>4.0333333333333341</c:v>
                </c:pt>
                <c:pt idx="5">
                  <c:v>4.0333333333333341</c:v>
                </c:pt>
                <c:pt idx="6">
                  <c:v>4.0333333333333341</c:v>
                </c:pt>
                <c:pt idx="7">
                  <c:v>4.0333333333333341</c:v>
                </c:pt>
                <c:pt idx="8">
                  <c:v>4.0333333333333341</c:v>
                </c:pt>
                <c:pt idx="9">
                  <c:v>4.0333333333333341</c:v>
                </c:pt>
                <c:pt idx="10">
                  <c:v>4.0333333333333341</c:v>
                </c:pt>
                <c:pt idx="11">
                  <c:v>4.0333333333333341</c:v>
                </c:pt>
              </c:numCache>
            </c:numRef>
          </c:val>
          <c:smooth val="0"/>
          <c:extLst>
            <c:ext xmlns:c16="http://schemas.microsoft.com/office/drawing/2014/chart" uri="{C3380CC4-5D6E-409C-BE32-E72D297353CC}">
              <c16:uniqueId val="{00000007-E1AB-482C-9B6E-C6B415F32112}"/>
            </c:ext>
          </c:extLst>
        </c:ser>
        <c:ser>
          <c:idx val="2"/>
          <c:order val="2"/>
          <c:tx>
            <c:strRef>
              <c:f>'XmR chart'!$E$1</c:f>
              <c:strCache>
                <c:ptCount val="1"/>
                <c:pt idx="0">
                  <c:v>UPL</c:v>
                </c:pt>
              </c:strCache>
            </c:strRef>
          </c:tx>
          <c:spPr>
            <a:ln w="28575" cap="rnd">
              <a:solidFill>
                <a:schemeClr val="accent2"/>
              </a:solidFill>
              <a:prstDash val="dash"/>
              <a:round/>
            </a:ln>
            <a:effectLst/>
          </c:spPr>
          <c:marker>
            <c:symbol val="none"/>
          </c:marker>
          <c:cat>
            <c:strRef>
              <c:f>'XmR chart'!$B$2:$B$13</c:f>
              <c:strCache>
                <c:ptCount val="12"/>
                <c:pt idx="0">
                  <c:v>Jan</c:v>
                </c:pt>
                <c:pt idx="1">
                  <c:v>Feb</c:v>
                </c:pt>
                <c:pt idx="2">
                  <c:v>Mar</c:v>
                </c:pt>
                <c:pt idx="3">
                  <c:v>Apr</c:v>
                </c:pt>
                <c:pt idx="4">
                  <c:v>May</c:v>
                </c:pt>
                <c:pt idx="5">
                  <c:v>454</c:v>
                </c:pt>
                <c:pt idx="6">
                  <c:v>454</c:v>
                </c:pt>
                <c:pt idx="7">
                  <c:v>Aug</c:v>
                </c:pt>
                <c:pt idx="8">
                  <c:v>455</c:v>
                </c:pt>
                <c:pt idx="9">
                  <c:v>Oct</c:v>
                </c:pt>
                <c:pt idx="10">
                  <c:v>Nov</c:v>
                </c:pt>
                <c:pt idx="11">
                  <c:v>Dec</c:v>
                </c:pt>
              </c:strCache>
            </c:strRef>
          </c:cat>
          <c:val>
            <c:numRef>
              <c:f>'XmR chart'!$E$2:$E$13</c:f>
              <c:numCache>
                <c:formatCode>0.00</c:formatCode>
                <c:ptCount val="12"/>
                <c:pt idx="0">
                  <c:v>4.2267878787878796</c:v>
                </c:pt>
                <c:pt idx="1">
                  <c:v>4.2267878787878796</c:v>
                </c:pt>
                <c:pt idx="2">
                  <c:v>4.2267878787878796</c:v>
                </c:pt>
                <c:pt idx="3">
                  <c:v>4.2267878787878796</c:v>
                </c:pt>
                <c:pt idx="4">
                  <c:v>4.2267878787878796</c:v>
                </c:pt>
                <c:pt idx="5">
                  <c:v>4.2267878787878796</c:v>
                </c:pt>
                <c:pt idx="6">
                  <c:v>4.2267878787878796</c:v>
                </c:pt>
                <c:pt idx="7">
                  <c:v>4.2267878787878796</c:v>
                </c:pt>
                <c:pt idx="8">
                  <c:v>4.2267878787878796</c:v>
                </c:pt>
                <c:pt idx="9">
                  <c:v>4.2267878787878796</c:v>
                </c:pt>
                <c:pt idx="10">
                  <c:v>4.2267878787878796</c:v>
                </c:pt>
                <c:pt idx="11">
                  <c:v>4.2267878787878796</c:v>
                </c:pt>
              </c:numCache>
            </c:numRef>
          </c:val>
          <c:smooth val="0"/>
          <c:extLst>
            <c:ext xmlns:c16="http://schemas.microsoft.com/office/drawing/2014/chart" uri="{C3380CC4-5D6E-409C-BE32-E72D297353CC}">
              <c16:uniqueId val="{00000009-E1AB-482C-9B6E-C6B415F32112}"/>
            </c:ext>
          </c:extLst>
        </c:ser>
        <c:ser>
          <c:idx val="3"/>
          <c:order val="3"/>
          <c:tx>
            <c:strRef>
              <c:f>'XmR chart'!$F$1</c:f>
              <c:strCache>
                <c:ptCount val="1"/>
                <c:pt idx="0">
                  <c:v>LPL</c:v>
                </c:pt>
              </c:strCache>
            </c:strRef>
          </c:tx>
          <c:spPr>
            <a:ln w="28575" cap="rnd">
              <a:solidFill>
                <a:schemeClr val="accent2"/>
              </a:solidFill>
              <a:prstDash val="dash"/>
              <a:round/>
            </a:ln>
            <a:effectLst/>
          </c:spPr>
          <c:marker>
            <c:symbol val="none"/>
          </c:marker>
          <c:cat>
            <c:strRef>
              <c:f>'XmR chart'!$B$2:$B$13</c:f>
              <c:strCache>
                <c:ptCount val="12"/>
                <c:pt idx="0">
                  <c:v>Jan</c:v>
                </c:pt>
                <c:pt idx="1">
                  <c:v>Feb</c:v>
                </c:pt>
                <c:pt idx="2">
                  <c:v>Mar</c:v>
                </c:pt>
                <c:pt idx="3">
                  <c:v>Apr</c:v>
                </c:pt>
                <c:pt idx="4">
                  <c:v>May</c:v>
                </c:pt>
                <c:pt idx="5">
                  <c:v>454</c:v>
                </c:pt>
                <c:pt idx="6">
                  <c:v>454</c:v>
                </c:pt>
                <c:pt idx="7">
                  <c:v>Aug</c:v>
                </c:pt>
                <c:pt idx="8">
                  <c:v>455</c:v>
                </c:pt>
                <c:pt idx="9">
                  <c:v>Oct</c:v>
                </c:pt>
                <c:pt idx="10">
                  <c:v>Nov</c:v>
                </c:pt>
                <c:pt idx="11">
                  <c:v>Dec</c:v>
                </c:pt>
              </c:strCache>
            </c:strRef>
          </c:cat>
          <c:val>
            <c:numRef>
              <c:f>'XmR chart'!$F$2:$F$13</c:f>
              <c:numCache>
                <c:formatCode>0.00</c:formatCode>
                <c:ptCount val="12"/>
                <c:pt idx="0">
                  <c:v>3.8398787878787881</c:v>
                </c:pt>
                <c:pt idx="1">
                  <c:v>3.8398787878787881</c:v>
                </c:pt>
                <c:pt idx="2">
                  <c:v>3.8398787878787881</c:v>
                </c:pt>
                <c:pt idx="3">
                  <c:v>3.8398787878787881</c:v>
                </c:pt>
                <c:pt idx="4">
                  <c:v>3.8398787878787881</c:v>
                </c:pt>
                <c:pt idx="5">
                  <c:v>3.8398787878787881</c:v>
                </c:pt>
                <c:pt idx="6">
                  <c:v>3.8398787878787881</c:v>
                </c:pt>
                <c:pt idx="7">
                  <c:v>3.8398787878787881</c:v>
                </c:pt>
                <c:pt idx="8">
                  <c:v>3.8398787878787881</c:v>
                </c:pt>
                <c:pt idx="9">
                  <c:v>3.8398787878787881</c:v>
                </c:pt>
                <c:pt idx="10">
                  <c:v>3.8398787878787881</c:v>
                </c:pt>
                <c:pt idx="11">
                  <c:v>3.8398787878787881</c:v>
                </c:pt>
              </c:numCache>
            </c:numRef>
          </c:val>
          <c:smooth val="0"/>
          <c:extLst>
            <c:ext xmlns:c16="http://schemas.microsoft.com/office/drawing/2014/chart" uri="{C3380CC4-5D6E-409C-BE32-E72D297353CC}">
              <c16:uniqueId val="{0000000B-E1AB-482C-9B6E-C6B415F32112}"/>
            </c:ext>
          </c:extLst>
        </c:ser>
        <c:dLbls>
          <c:showLegendKey val="0"/>
          <c:showVal val="0"/>
          <c:showCatName val="0"/>
          <c:showSerName val="0"/>
          <c:showPercent val="0"/>
          <c:showBubbleSize val="0"/>
        </c:dLbls>
        <c:marker val="1"/>
        <c:smooth val="0"/>
        <c:axId val="1582966191"/>
        <c:axId val="1582955151"/>
      </c:lineChart>
      <c:catAx>
        <c:axId val="158296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55151"/>
        <c:crosses val="autoZero"/>
        <c:auto val="1"/>
        <c:lblAlgn val="ctr"/>
        <c:lblOffset val="100"/>
        <c:noMultiLvlLbl val="0"/>
      </c:catAx>
      <c:valAx>
        <c:axId val="15829551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Individual Values (X)</a:t>
                </a: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6619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'XmR chart'!$G$1</c:f>
              <c:strCache>
                <c:ptCount val="1"/>
                <c:pt idx="0">
                  <c:v>mR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'XmR chart'!$G$2:$G$13</c:f>
              <c:numCache>
                <c:formatCode>General</c:formatCode>
                <c:ptCount val="12"/>
                <c:pt idx="1">
                  <c:v>0.19999999999999973</c:v>
                </c:pt>
                <c:pt idx="2">
                  <c:v>0</c:v>
                </c:pt>
                <c:pt idx="3">
                  <c:v>0</c:v>
                </c:pt>
                <c:pt idx="4">
                  <c:v>0.10000000000000009</c:v>
                </c:pt>
                <c:pt idx="5">
                  <c:v>9.9999999999999645E-2</c:v>
                </c:pt>
                <c:pt idx="6">
                  <c:v>0.10000000000000053</c:v>
                </c:pt>
                <c:pt idx="7">
                  <c:v>0</c:v>
                </c:pt>
                <c:pt idx="8">
                  <c:v>0.10000000000000053</c:v>
                </c:pt>
                <c:pt idx="9">
                  <c:v>0</c:v>
                </c:pt>
                <c:pt idx="10">
                  <c:v>0.10000000000000053</c:v>
                </c:pt>
                <c:pt idx="11">
                  <c:v>0.10000000000000053</c:v>
                </c:pt>
              </c:numCache>
            </c:numRef>
          </c:val>
          <c:smooth val="0"/>
          <c:extLst>
            <c:ext xmlns:c16="http://schemas.microsoft.com/office/drawing/2014/chart" uri="{C3380CC4-5D6E-409C-BE32-E72D297353CC}">
              <c16:uniqueId val="{00000004-EE15-4C9C-94F0-0A0ADD2BF7FA}"/>
            </c:ext>
          </c:extLst>
        </c:ser>
        <c:ser>
          <c:idx val="1"/>
          <c:order val="1"/>
          <c:tx>
            <c:strRef>
              <c:f>'XmR chart'!$H$1</c:f>
              <c:strCache>
                <c:ptCount val="1"/>
                <c:pt idx="0">
                  <c:v>Ave. mR</c:v>
                </c:pt>
              </c:strCache>
            </c:strRef>
          </c:tx>
          <c:spPr>
            <a:ln w="28575" cap="rnd">
              <a:solidFill>
                <a:schemeClr val="tx1"/>
              </a:solidFill>
              <a:round/>
            </a:ln>
            <a:effectLst/>
          </c:spPr>
          <c:marker>
            <c:symbol val="none"/>
          </c:marker>
          <c:val>
            <c:numRef>
              <c:f>'XmR chart'!$H$2:$H$13</c:f>
              <c:numCache>
                <c:formatCode>0.00</c:formatCode>
                <c:ptCount val="12"/>
                <c:pt idx="0">
                  <c:v>7.2727272727272876E-2</c:v>
                </c:pt>
                <c:pt idx="1">
                  <c:v>7.2727272727272876E-2</c:v>
                </c:pt>
                <c:pt idx="2">
                  <c:v>7.2727272727272876E-2</c:v>
                </c:pt>
                <c:pt idx="3">
                  <c:v>7.2727272727272876E-2</c:v>
                </c:pt>
                <c:pt idx="4">
                  <c:v>7.2727272727272876E-2</c:v>
                </c:pt>
                <c:pt idx="5">
                  <c:v>7.2727272727272876E-2</c:v>
                </c:pt>
                <c:pt idx="6">
                  <c:v>7.2727272727272876E-2</c:v>
                </c:pt>
                <c:pt idx="7">
                  <c:v>7.2727272727272876E-2</c:v>
                </c:pt>
                <c:pt idx="8">
                  <c:v>7.2727272727272876E-2</c:v>
                </c:pt>
                <c:pt idx="9">
                  <c:v>7.2727272727272876E-2</c:v>
                </c:pt>
                <c:pt idx="10">
                  <c:v>7.2727272727272876E-2</c:v>
                </c:pt>
                <c:pt idx="11">
                  <c:v>7.2727272727272876E-2</c:v>
                </c:pt>
              </c:numCache>
            </c:numRef>
          </c:val>
          <c:smooth val="0"/>
          <c:extLst>
            <c:ext xmlns:c16="http://schemas.microsoft.com/office/drawing/2014/chart" uri="{C3380CC4-5D6E-409C-BE32-E72D297353CC}">
              <c16:uniqueId val="{00000006-EE15-4C9C-94F0-0A0ADD2BF7FA}"/>
            </c:ext>
          </c:extLst>
        </c:ser>
        <c:ser>
          <c:idx val="2"/>
          <c:order val="2"/>
          <c:tx>
            <c:strRef>
              <c:f>'XmR chart'!$I$1</c:f>
              <c:strCache>
                <c:ptCount val="1"/>
                <c:pt idx="0">
                  <c:v>URL</c:v>
                </c:pt>
              </c:strCache>
            </c:strRef>
          </c:tx>
          <c:spPr>
            <a:ln w="28575" cap="rnd">
              <a:solidFill>
                <a:schemeClr val="accent2"/>
              </a:solidFill>
              <a:prstDash val="dash"/>
              <a:round/>
            </a:ln>
            <a:effectLst/>
          </c:spPr>
          <c:marker>
            <c:symbol val="none"/>
          </c:marker>
          <c:val>
            <c:numRef>
              <c:f>'XmR chart'!$I$2:$I$13</c:f>
              <c:numCache>
                <c:formatCode>0.00</c:formatCode>
                <c:ptCount val="12"/>
                <c:pt idx="0">
                  <c:v>0.23549090909090958</c:v>
                </c:pt>
                <c:pt idx="1">
                  <c:v>0.23549090909090958</c:v>
                </c:pt>
                <c:pt idx="2">
                  <c:v>0.23549090909090958</c:v>
                </c:pt>
                <c:pt idx="3">
                  <c:v>0.23549090909090958</c:v>
                </c:pt>
                <c:pt idx="4">
                  <c:v>0.23549090909090958</c:v>
                </c:pt>
                <c:pt idx="5">
                  <c:v>0.23549090909090958</c:v>
                </c:pt>
                <c:pt idx="6">
                  <c:v>0.23549090909090958</c:v>
                </c:pt>
                <c:pt idx="7">
                  <c:v>0.23549090909090958</c:v>
                </c:pt>
                <c:pt idx="8">
                  <c:v>0.23549090909090958</c:v>
                </c:pt>
                <c:pt idx="9">
                  <c:v>0.23549090909090958</c:v>
                </c:pt>
                <c:pt idx="10">
                  <c:v>0.23549090909090958</c:v>
                </c:pt>
                <c:pt idx="11">
                  <c:v>0.23549090909090958</c:v>
                </c:pt>
              </c:numCache>
            </c:numRef>
          </c:val>
          <c:smooth val="0"/>
          <c:extLst>
            <c:ext xmlns:c16="http://schemas.microsoft.com/office/drawing/2014/chart" uri="{C3380CC4-5D6E-409C-BE32-E72D297353CC}">
              <c16:uniqueId val="{00000008-EE15-4C9C-94F0-0A0ADD2BF7FA}"/>
            </c:ext>
          </c:extLst>
        </c:ser>
        <c:dLbls>
          <c:showLegendKey val="0"/>
          <c:showVal val="0"/>
          <c:showCatName val="0"/>
          <c:showSerName val="0"/>
          <c:showPercent val="0"/>
          <c:showBubbleSize val="0"/>
        </c:dLbls>
        <c:marker val="1"/>
        <c:smooth val="0"/>
        <c:axId val="1582966191"/>
        <c:axId val="1582955151"/>
      </c:lineChart>
      <c:catAx>
        <c:axId val="1582966191"/>
        <c:scaling>
          <c:orientation val="minMax"/>
        </c:scaling>
        <c:delete val="1"/>
        <c:axPos val="b"/>
        <c:numFmt formatCode="General" sourceLinked="1"/>
        <c:majorTickMark val="none"/>
        <c:minorTickMark val="none"/>
        <c:tickLblPos val="nextTo"/>
        <c:crossAx val="1582955151"/>
        <c:crosses val="autoZero"/>
        <c:auto val="1"/>
        <c:lblAlgn val="ctr"/>
        <c:lblOffset val="100"/>
        <c:noMultiLvlLbl val="0"/>
      </c:catAx>
      <c:valAx>
        <c:axId val="15829551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 Range (mR)</a:t>
                </a: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6619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'3Sigma chart'!$C$1</c:f>
              <c:strCache>
                <c:ptCount val="1"/>
                <c:pt idx="0">
                  <c:v>Rate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'3Sigma chart'!$B$2:$B$13</c:f>
              <c:strCache>
                <c:ptCount val="12"/>
                <c:pt idx="0">
                  <c:v>Jan</c:v>
                </c:pt>
                <c:pt idx="1">
                  <c:v>Feb</c:v>
                </c:pt>
                <c:pt idx="2">
                  <c:v>Mar</c:v>
                </c:pt>
                <c:pt idx="3">
                  <c:v>Apr</c:v>
                </c:pt>
                <c:pt idx="4">
                  <c:v>May</c:v>
                </c:pt>
                <c:pt idx="5">
                  <c:v>454</c:v>
                </c:pt>
                <c:pt idx="6">
                  <c:v>454</c:v>
                </c:pt>
                <c:pt idx="7">
                  <c:v>Aug</c:v>
                </c:pt>
                <c:pt idx="8">
                  <c:v>455</c:v>
                </c:pt>
                <c:pt idx="9">
                  <c:v>Oct</c:v>
                </c:pt>
                <c:pt idx="10">
                  <c:v>Nov</c:v>
                </c:pt>
                <c:pt idx="11">
                  <c:v>Dec</c:v>
                </c:pt>
              </c:strCache>
            </c:strRef>
          </c:cat>
          <c:val>
            <c:numRef>
              <c:f>'3Sigma chart'!$C$2:$C$13</c:f>
              <c:numCache>
                <c:formatCode>General</c:formatCode>
                <c:ptCount val="12"/>
                <c:pt idx="0">
                  <c:v>3.7</c:v>
                </c:pt>
                <c:pt idx="1">
                  <c:v>3.9</c:v>
                </c:pt>
                <c:pt idx="2">
                  <c:v>3.9</c:v>
                </c:pt>
                <c:pt idx="3">
                  <c:v>3.9</c:v>
                </c:pt>
                <c:pt idx="4" formatCode="0.0">
                  <c:v>4</c:v>
                </c:pt>
                <c:pt idx="5">
                  <c:v>4.0999999999999996</c:v>
                </c:pt>
                <c:pt idx="6">
                  <c:v>4.2</c:v>
                </c:pt>
                <c:pt idx="7">
                  <c:v>4.2</c:v>
                </c:pt>
                <c:pt idx="8">
                  <c:v>4.0999999999999996</c:v>
                </c:pt>
                <c:pt idx="9">
                  <c:v>4.0999999999999996</c:v>
                </c:pt>
                <c:pt idx="10">
                  <c:v>4.2</c:v>
                </c:pt>
                <c:pt idx="11">
                  <c:v>4.0999999999999996</c:v>
                </c:pt>
              </c:numCache>
            </c:numRef>
          </c:val>
          <c:smooth val="0"/>
          <c:extLst>
            <c:ext xmlns:c16="http://schemas.microsoft.com/office/drawing/2014/chart" uri="{C3380CC4-5D6E-409C-BE32-E72D297353CC}">
              <c16:uniqueId val="{00000005-4F28-497F-B819-8AFD203AA05F}"/>
            </c:ext>
          </c:extLst>
        </c:ser>
        <c:ser>
          <c:idx val="1"/>
          <c:order val="1"/>
          <c:tx>
            <c:strRef>
              <c:f>'3Sigma chart'!$D$1</c:f>
              <c:strCache>
                <c:ptCount val="1"/>
                <c:pt idx="0">
                  <c:v>X-Bar</c:v>
                </c:pt>
              </c:strCache>
            </c:strRef>
          </c:tx>
          <c:spPr>
            <a:ln w="28575" cap="rnd">
              <a:solidFill>
                <a:schemeClr val="tx1"/>
              </a:solidFill>
              <a:round/>
            </a:ln>
            <a:effectLst/>
          </c:spPr>
          <c:marker>
            <c:symbol val="none"/>
          </c:marker>
          <c:cat>
            <c:strRef>
              <c:f>'3Sigma chart'!$B$2:$B$13</c:f>
              <c:strCache>
                <c:ptCount val="12"/>
                <c:pt idx="0">
                  <c:v>Jan</c:v>
                </c:pt>
                <c:pt idx="1">
                  <c:v>Feb</c:v>
                </c:pt>
                <c:pt idx="2">
                  <c:v>Mar</c:v>
                </c:pt>
                <c:pt idx="3">
                  <c:v>Apr</c:v>
                </c:pt>
                <c:pt idx="4">
                  <c:v>May</c:v>
                </c:pt>
                <c:pt idx="5">
                  <c:v>454</c:v>
                </c:pt>
                <c:pt idx="6">
                  <c:v>454</c:v>
                </c:pt>
                <c:pt idx="7">
                  <c:v>Aug</c:v>
                </c:pt>
                <c:pt idx="8">
                  <c:v>455</c:v>
                </c:pt>
                <c:pt idx="9">
                  <c:v>Oct</c:v>
                </c:pt>
                <c:pt idx="10">
                  <c:v>Nov</c:v>
                </c:pt>
                <c:pt idx="11">
                  <c:v>Dec</c:v>
                </c:pt>
              </c:strCache>
            </c:strRef>
          </c:cat>
          <c:val>
            <c:numRef>
              <c:f>'3Sigma chart'!$D$2:$D$13</c:f>
              <c:numCache>
                <c:formatCode>0.00</c:formatCode>
                <c:ptCount val="12"/>
                <c:pt idx="0">
                  <c:v>4.0333333333333341</c:v>
                </c:pt>
                <c:pt idx="1">
                  <c:v>4.0333333333333341</c:v>
                </c:pt>
                <c:pt idx="2">
                  <c:v>4.0333333333333341</c:v>
                </c:pt>
                <c:pt idx="3">
                  <c:v>4.0333333333333341</c:v>
                </c:pt>
                <c:pt idx="4">
                  <c:v>4.0333333333333341</c:v>
                </c:pt>
                <c:pt idx="5">
                  <c:v>4.0333333333333341</c:v>
                </c:pt>
                <c:pt idx="6">
                  <c:v>4.0333333333333341</c:v>
                </c:pt>
                <c:pt idx="7">
                  <c:v>4.0333333333333341</c:v>
                </c:pt>
                <c:pt idx="8">
                  <c:v>4.0333333333333341</c:v>
                </c:pt>
                <c:pt idx="9">
                  <c:v>4.0333333333333341</c:v>
                </c:pt>
                <c:pt idx="10">
                  <c:v>4.0333333333333341</c:v>
                </c:pt>
                <c:pt idx="11">
                  <c:v>4.0333333333333341</c:v>
                </c:pt>
              </c:numCache>
            </c:numRef>
          </c:val>
          <c:smooth val="0"/>
          <c:extLst>
            <c:ext xmlns:c16="http://schemas.microsoft.com/office/drawing/2014/chart" uri="{C3380CC4-5D6E-409C-BE32-E72D297353CC}">
              <c16:uniqueId val="{00000007-4F28-497F-B819-8AFD203AA05F}"/>
            </c:ext>
          </c:extLst>
        </c:ser>
        <c:ser>
          <c:idx val="2"/>
          <c:order val="2"/>
          <c:tx>
            <c:strRef>
              <c:f>'3Sigma chart'!$E$1</c:f>
              <c:strCache>
                <c:ptCount val="1"/>
                <c:pt idx="0">
                  <c:v>UPL</c:v>
                </c:pt>
              </c:strCache>
            </c:strRef>
          </c:tx>
          <c:spPr>
            <a:ln w="28575" cap="rnd">
              <a:solidFill>
                <a:schemeClr val="accent2"/>
              </a:solidFill>
              <a:prstDash val="dash"/>
              <a:round/>
            </a:ln>
            <a:effectLst/>
          </c:spPr>
          <c:marker>
            <c:symbol val="none"/>
          </c:marker>
          <c:cat>
            <c:strRef>
              <c:f>'3Sigma chart'!$B$2:$B$13</c:f>
              <c:strCache>
                <c:ptCount val="12"/>
                <c:pt idx="0">
                  <c:v>Jan</c:v>
                </c:pt>
                <c:pt idx="1">
                  <c:v>Feb</c:v>
                </c:pt>
                <c:pt idx="2">
                  <c:v>Mar</c:v>
                </c:pt>
                <c:pt idx="3">
                  <c:v>Apr</c:v>
                </c:pt>
                <c:pt idx="4">
                  <c:v>May</c:v>
                </c:pt>
                <c:pt idx="5">
                  <c:v>454</c:v>
                </c:pt>
                <c:pt idx="6">
                  <c:v>454</c:v>
                </c:pt>
                <c:pt idx="7">
                  <c:v>Aug</c:v>
                </c:pt>
                <c:pt idx="8">
                  <c:v>455</c:v>
                </c:pt>
                <c:pt idx="9">
                  <c:v>Oct</c:v>
                </c:pt>
                <c:pt idx="10">
                  <c:v>Nov</c:v>
                </c:pt>
                <c:pt idx="11">
                  <c:v>Dec</c:v>
                </c:pt>
              </c:strCache>
            </c:strRef>
          </c:cat>
          <c:val>
            <c:numRef>
              <c:f>'3Sigma chart'!$E$2:$E$13</c:f>
              <c:numCache>
                <c:formatCode>0.00</c:formatCode>
                <c:ptCount val="12"/>
                <c:pt idx="0">
                  <c:v>4.500432699830248</c:v>
                </c:pt>
                <c:pt idx="1">
                  <c:v>4.500432699830248</c:v>
                </c:pt>
                <c:pt idx="2">
                  <c:v>4.500432699830248</c:v>
                </c:pt>
                <c:pt idx="3">
                  <c:v>4.500432699830248</c:v>
                </c:pt>
                <c:pt idx="4">
                  <c:v>4.500432699830248</c:v>
                </c:pt>
                <c:pt idx="5">
                  <c:v>4.500432699830248</c:v>
                </c:pt>
                <c:pt idx="6">
                  <c:v>4.500432699830248</c:v>
                </c:pt>
                <c:pt idx="7">
                  <c:v>4.500432699830248</c:v>
                </c:pt>
                <c:pt idx="8">
                  <c:v>4.500432699830248</c:v>
                </c:pt>
                <c:pt idx="9">
                  <c:v>4.500432699830248</c:v>
                </c:pt>
                <c:pt idx="10">
                  <c:v>4.500432699830248</c:v>
                </c:pt>
                <c:pt idx="11">
                  <c:v>4.500432699830248</c:v>
                </c:pt>
              </c:numCache>
            </c:numRef>
          </c:val>
          <c:smooth val="0"/>
          <c:extLst>
            <c:ext xmlns:c16="http://schemas.microsoft.com/office/drawing/2014/chart" uri="{C3380CC4-5D6E-409C-BE32-E72D297353CC}">
              <c16:uniqueId val="{00000009-4F28-497F-B819-8AFD203AA05F}"/>
            </c:ext>
          </c:extLst>
        </c:ser>
        <c:ser>
          <c:idx val="3"/>
          <c:order val="3"/>
          <c:tx>
            <c:strRef>
              <c:f>'3Sigma chart'!$F$1</c:f>
              <c:strCache>
                <c:ptCount val="1"/>
                <c:pt idx="0">
                  <c:v>LPL</c:v>
                </c:pt>
              </c:strCache>
            </c:strRef>
          </c:tx>
          <c:spPr>
            <a:ln w="28575" cap="rnd">
              <a:solidFill>
                <a:schemeClr val="accent2"/>
              </a:solidFill>
              <a:prstDash val="dash"/>
              <a:round/>
            </a:ln>
            <a:effectLst/>
          </c:spPr>
          <c:marker>
            <c:symbol val="none"/>
          </c:marker>
          <c:cat>
            <c:strRef>
              <c:f>'3Sigma chart'!$B$2:$B$13</c:f>
              <c:strCache>
                <c:ptCount val="12"/>
                <c:pt idx="0">
                  <c:v>Jan</c:v>
                </c:pt>
                <c:pt idx="1">
                  <c:v>Feb</c:v>
                </c:pt>
                <c:pt idx="2">
                  <c:v>Mar</c:v>
                </c:pt>
                <c:pt idx="3">
                  <c:v>Apr</c:v>
                </c:pt>
                <c:pt idx="4">
                  <c:v>May</c:v>
                </c:pt>
                <c:pt idx="5">
                  <c:v>454</c:v>
                </c:pt>
                <c:pt idx="6">
                  <c:v>454</c:v>
                </c:pt>
                <c:pt idx="7">
                  <c:v>Aug</c:v>
                </c:pt>
                <c:pt idx="8">
                  <c:v>455</c:v>
                </c:pt>
                <c:pt idx="9">
                  <c:v>Oct</c:v>
                </c:pt>
                <c:pt idx="10">
                  <c:v>Nov</c:v>
                </c:pt>
                <c:pt idx="11">
                  <c:v>Dec</c:v>
                </c:pt>
              </c:strCache>
            </c:strRef>
          </c:cat>
          <c:val>
            <c:numRef>
              <c:f>'3Sigma chart'!$F$2:$F$13</c:f>
              <c:numCache>
                <c:formatCode>0.00</c:formatCode>
                <c:ptCount val="12"/>
                <c:pt idx="0">
                  <c:v>3.5662339668364202</c:v>
                </c:pt>
                <c:pt idx="1">
                  <c:v>3.5662339668364202</c:v>
                </c:pt>
                <c:pt idx="2">
                  <c:v>3.5662339668364202</c:v>
                </c:pt>
                <c:pt idx="3">
                  <c:v>3.5662339668364202</c:v>
                </c:pt>
                <c:pt idx="4">
                  <c:v>3.5662339668364202</c:v>
                </c:pt>
                <c:pt idx="5">
                  <c:v>3.5662339668364202</c:v>
                </c:pt>
                <c:pt idx="6">
                  <c:v>3.5662339668364202</c:v>
                </c:pt>
                <c:pt idx="7">
                  <c:v>3.5662339668364202</c:v>
                </c:pt>
                <c:pt idx="8">
                  <c:v>3.5662339668364202</c:v>
                </c:pt>
                <c:pt idx="9">
                  <c:v>3.5662339668364202</c:v>
                </c:pt>
                <c:pt idx="10">
                  <c:v>3.5662339668364202</c:v>
                </c:pt>
                <c:pt idx="11">
                  <c:v>3.5662339668364202</c:v>
                </c:pt>
              </c:numCache>
            </c:numRef>
          </c:val>
          <c:smooth val="0"/>
          <c:extLst>
            <c:ext xmlns:c16="http://schemas.microsoft.com/office/drawing/2014/chart" uri="{C3380CC4-5D6E-409C-BE32-E72D297353CC}">
              <c16:uniqueId val="{0000000B-4F28-497F-B819-8AFD203AA05F}"/>
            </c:ext>
          </c:extLst>
        </c:ser>
        <c:dLbls>
          <c:showLegendKey val="0"/>
          <c:showVal val="0"/>
          <c:showCatName val="0"/>
          <c:showSerName val="0"/>
          <c:showPercent val="0"/>
          <c:showBubbleSize val="0"/>
        </c:dLbls>
        <c:marker val="1"/>
        <c:smooth val="0"/>
        <c:axId val="1582966191"/>
        <c:axId val="1582955151"/>
      </c:lineChart>
      <c:catAx>
        <c:axId val="158296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55151"/>
        <c:crosses val="autoZero"/>
        <c:auto val="1"/>
        <c:lblAlgn val="ctr"/>
        <c:lblOffset val="100"/>
        <c:noMultiLvlLbl val="0"/>
      </c:catAx>
      <c:valAx>
        <c:axId val="1582955151"/>
        <c:scaling>
          <c:orientation val="minMax"/>
          <c:max val="4.5999999999999996"/>
          <c:min val="3.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Individual Values (X)</a:t>
                </a: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6619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'Method Comparison'!$E$1</c:f>
              <c:strCache>
                <c:ptCount val="1"/>
                <c:pt idx="0">
                  <c:v>Rate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'Method Comparison'!$D$2:$D$26</c:f>
              <c:strCache>
                <c:ptCount val="25"/>
                <c:pt idx="0">
                  <c:v>Jan-XmR</c:v>
                </c:pt>
                <c:pt idx="1">
                  <c:v>Feb-XmR</c:v>
                </c:pt>
                <c:pt idx="2">
                  <c:v>Mar-XmR</c:v>
                </c:pt>
                <c:pt idx="3">
                  <c:v>Apr-XmR</c:v>
                </c:pt>
                <c:pt idx="4">
                  <c:v>May-XmR</c:v>
                </c:pt>
                <c:pt idx="5">
                  <c:v>454-XmR</c:v>
                </c:pt>
                <c:pt idx="6">
                  <c:v>454-XmR</c:v>
                </c:pt>
                <c:pt idx="7">
                  <c:v>Aug-XmR</c:v>
                </c:pt>
                <c:pt idx="8">
                  <c:v>455-XmR</c:v>
                </c:pt>
                <c:pt idx="9">
                  <c:v>Oct-XmR</c:v>
                </c:pt>
                <c:pt idx="10">
                  <c:v>Nov-XmR</c:v>
                </c:pt>
                <c:pt idx="11">
                  <c:v>Dec-XmR</c:v>
                </c:pt>
                <c:pt idx="13">
                  <c:v>Jan-Stdev</c:v>
                </c:pt>
                <c:pt idx="14">
                  <c:v>Feb-Stdev</c:v>
                </c:pt>
                <c:pt idx="15">
                  <c:v>Mar-Stdev</c:v>
                </c:pt>
                <c:pt idx="16">
                  <c:v>Apr-Stdev</c:v>
                </c:pt>
                <c:pt idx="17">
                  <c:v>May-Stdev</c:v>
                </c:pt>
                <c:pt idx="18">
                  <c:v>454-Stdev</c:v>
                </c:pt>
                <c:pt idx="19">
                  <c:v>454-Stdev</c:v>
                </c:pt>
                <c:pt idx="20">
                  <c:v>Aug-Stdev</c:v>
                </c:pt>
                <c:pt idx="21">
                  <c:v>455-Stdev</c:v>
                </c:pt>
                <c:pt idx="22">
                  <c:v>Oct-Stdev</c:v>
                </c:pt>
                <c:pt idx="23">
                  <c:v>Nov-Stdev</c:v>
                </c:pt>
                <c:pt idx="24">
                  <c:v>Dec-Stdev</c:v>
                </c:pt>
              </c:strCache>
            </c:strRef>
          </c:cat>
          <c:val>
            <c:numRef>
              <c:f>'Method Comparison'!$E$2:$E$26</c:f>
              <c:numCache>
                <c:formatCode>General</c:formatCode>
                <c:ptCount val="25"/>
                <c:pt idx="0">
                  <c:v>3.7</c:v>
                </c:pt>
                <c:pt idx="1">
                  <c:v>3.9</c:v>
                </c:pt>
                <c:pt idx="2">
                  <c:v>3.9</c:v>
                </c:pt>
                <c:pt idx="3">
                  <c:v>3.9</c:v>
                </c:pt>
                <c:pt idx="4" formatCode="0.0">
                  <c:v>4</c:v>
                </c:pt>
                <c:pt idx="5">
                  <c:v>4.0999999999999996</c:v>
                </c:pt>
                <c:pt idx="6">
                  <c:v>4.2</c:v>
                </c:pt>
                <c:pt idx="7">
                  <c:v>4.2</c:v>
                </c:pt>
                <c:pt idx="8">
                  <c:v>4.0999999999999996</c:v>
                </c:pt>
                <c:pt idx="9">
                  <c:v>4.0999999999999996</c:v>
                </c:pt>
                <c:pt idx="10">
                  <c:v>4.2</c:v>
                </c:pt>
                <c:pt idx="11">
                  <c:v>4.0999999999999996</c:v>
                </c:pt>
                <c:pt idx="13">
                  <c:v>3.7</c:v>
                </c:pt>
                <c:pt idx="14">
                  <c:v>3.9</c:v>
                </c:pt>
                <c:pt idx="15">
                  <c:v>3.9</c:v>
                </c:pt>
                <c:pt idx="16">
                  <c:v>3.9</c:v>
                </c:pt>
                <c:pt idx="17" formatCode="0.0">
                  <c:v>4</c:v>
                </c:pt>
                <c:pt idx="18">
                  <c:v>4.0999999999999996</c:v>
                </c:pt>
                <c:pt idx="19">
                  <c:v>4.2</c:v>
                </c:pt>
                <c:pt idx="20">
                  <c:v>4.2</c:v>
                </c:pt>
                <c:pt idx="21">
                  <c:v>4.0999999999999996</c:v>
                </c:pt>
                <c:pt idx="22">
                  <c:v>4.0999999999999996</c:v>
                </c:pt>
                <c:pt idx="23">
                  <c:v>4.2</c:v>
                </c:pt>
                <c:pt idx="24">
                  <c:v>4.0999999999999996</c:v>
                </c:pt>
              </c:numCache>
            </c:numRef>
          </c:val>
          <c:smooth val="0"/>
          <c:extLst>
            <c:ext xmlns:c16="http://schemas.microsoft.com/office/drawing/2014/chart" uri="{C3380CC4-5D6E-409C-BE32-E72D297353CC}">
              <c16:uniqueId val="{00000005-37E0-432B-85CE-56FAFB923437}"/>
            </c:ext>
          </c:extLst>
        </c:ser>
        <c:ser>
          <c:idx val="1"/>
          <c:order val="1"/>
          <c:tx>
            <c:strRef>
              <c:f>'Method Comparison'!$F$1</c:f>
              <c:strCache>
                <c:ptCount val="1"/>
                <c:pt idx="0">
                  <c:v>X-Bar</c:v>
                </c:pt>
              </c:strCache>
            </c:strRef>
          </c:tx>
          <c:spPr>
            <a:ln w="28575" cap="rnd">
              <a:solidFill>
                <a:schemeClr val="tx1"/>
              </a:solidFill>
              <a:round/>
            </a:ln>
            <a:effectLst/>
          </c:spPr>
          <c:marker>
            <c:symbol val="none"/>
          </c:marker>
          <c:cat>
            <c:strRef>
              <c:f>'Method Comparison'!$D$2:$D$26</c:f>
              <c:strCache>
                <c:ptCount val="25"/>
                <c:pt idx="0">
                  <c:v>Jan-XmR</c:v>
                </c:pt>
                <c:pt idx="1">
                  <c:v>Feb-XmR</c:v>
                </c:pt>
                <c:pt idx="2">
                  <c:v>Mar-XmR</c:v>
                </c:pt>
                <c:pt idx="3">
                  <c:v>Apr-XmR</c:v>
                </c:pt>
                <c:pt idx="4">
                  <c:v>May-XmR</c:v>
                </c:pt>
                <c:pt idx="5">
                  <c:v>454-XmR</c:v>
                </c:pt>
                <c:pt idx="6">
                  <c:v>454-XmR</c:v>
                </c:pt>
                <c:pt idx="7">
                  <c:v>Aug-XmR</c:v>
                </c:pt>
                <c:pt idx="8">
                  <c:v>455-XmR</c:v>
                </c:pt>
                <c:pt idx="9">
                  <c:v>Oct-XmR</c:v>
                </c:pt>
                <c:pt idx="10">
                  <c:v>Nov-XmR</c:v>
                </c:pt>
                <c:pt idx="11">
                  <c:v>Dec-XmR</c:v>
                </c:pt>
                <c:pt idx="13">
                  <c:v>Jan-Stdev</c:v>
                </c:pt>
                <c:pt idx="14">
                  <c:v>Feb-Stdev</c:v>
                </c:pt>
                <c:pt idx="15">
                  <c:v>Mar-Stdev</c:v>
                </c:pt>
                <c:pt idx="16">
                  <c:v>Apr-Stdev</c:v>
                </c:pt>
                <c:pt idx="17">
                  <c:v>May-Stdev</c:v>
                </c:pt>
                <c:pt idx="18">
                  <c:v>454-Stdev</c:v>
                </c:pt>
                <c:pt idx="19">
                  <c:v>454-Stdev</c:v>
                </c:pt>
                <c:pt idx="20">
                  <c:v>Aug-Stdev</c:v>
                </c:pt>
                <c:pt idx="21">
                  <c:v>455-Stdev</c:v>
                </c:pt>
                <c:pt idx="22">
                  <c:v>Oct-Stdev</c:v>
                </c:pt>
                <c:pt idx="23">
                  <c:v>Nov-Stdev</c:v>
                </c:pt>
                <c:pt idx="24">
                  <c:v>Dec-Stdev</c:v>
                </c:pt>
              </c:strCache>
            </c:strRef>
          </c:cat>
          <c:val>
            <c:numRef>
              <c:f>'Method Comparison'!$F$2:$F$26</c:f>
              <c:numCache>
                <c:formatCode>0.00</c:formatCode>
                <c:ptCount val="25"/>
                <c:pt idx="0">
                  <c:v>4.0333333333333341</c:v>
                </c:pt>
                <c:pt idx="1">
                  <c:v>4.0333333333333341</c:v>
                </c:pt>
                <c:pt idx="2">
                  <c:v>4.0333333333333341</c:v>
                </c:pt>
                <c:pt idx="3">
                  <c:v>4.0333333333333341</c:v>
                </c:pt>
                <c:pt idx="4">
                  <c:v>4.0333333333333341</c:v>
                </c:pt>
                <c:pt idx="5">
                  <c:v>4.0333333333333341</c:v>
                </c:pt>
                <c:pt idx="6">
                  <c:v>4.0333333333333341</c:v>
                </c:pt>
                <c:pt idx="7">
                  <c:v>4.0333333333333341</c:v>
                </c:pt>
                <c:pt idx="8">
                  <c:v>4.0333333333333341</c:v>
                </c:pt>
                <c:pt idx="9">
                  <c:v>4.0333333333333341</c:v>
                </c:pt>
                <c:pt idx="10">
                  <c:v>4.0333333333333341</c:v>
                </c:pt>
                <c:pt idx="11">
                  <c:v>4.0333333333333341</c:v>
                </c:pt>
                <c:pt idx="13">
                  <c:v>4.0333333333333341</c:v>
                </c:pt>
                <c:pt idx="14">
                  <c:v>4.0333333333333341</c:v>
                </c:pt>
                <c:pt idx="15">
                  <c:v>4.0333333333333341</c:v>
                </c:pt>
                <c:pt idx="16">
                  <c:v>4.0333333333333341</c:v>
                </c:pt>
                <c:pt idx="17">
                  <c:v>4.0333333333333341</c:v>
                </c:pt>
                <c:pt idx="18">
                  <c:v>4.0333333333333341</c:v>
                </c:pt>
                <c:pt idx="19">
                  <c:v>4.0333333333333341</c:v>
                </c:pt>
                <c:pt idx="20">
                  <c:v>4.0333333333333341</c:v>
                </c:pt>
                <c:pt idx="21">
                  <c:v>4.0333333333333341</c:v>
                </c:pt>
                <c:pt idx="22">
                  <c:v>4.0333333333333341</c:v>
                </c:pt>
                <c:pt idx="23">
                  <c:v>4.0333333333333341</c:v>
                </c:pt>
                <c:pt idx="24">
                  <c:v>4.0333333333333341</c:v>
                </c:pt>
              </c:numCache>
            </c:numRef>
          </c:val>
          <c:smooth val="0"/>
          <c:extLst>
            <c:ext xmlns:c16="http://schemas.microsoft.com/office/drawing/2014/chart" uri="{C3380CC4-5D6E-409C-BE32-E72D297353CC}">
              <c16:uniqueId val="{00000007-37E0-432B-85CE-56FAFB923437}"/>
            </c:ext>
          </c:extLst>
        </c:ser>
        <c:ser>
          <c:idx val="2"/>
          <c:order val="2"/>
          <c:tx>
            <c:strRef>
              <c:f>'Method Comparison'!$G$1</c:f>
              <c:strCache>
                <c:ptCount val="1"/>
                <c:pt idx="0">
                  <c:v>UPL</c:v>
                </c:pt>
              </c:strCache>
            </c:strRef>
          </c:tx>
          <c:spPr>
            <a:ln w="28575" cap="rnd">
              <a:solidFill>
                <a:schemeClr val="accent2"/>
              </a:solidFill>
              <a:prstDash val="dash"/>
              <a:round/>
            </a:ln>
            <a:effectLst/>
          </c:spPr>
          <c:marker>
            <c:symbol val="none"/>
          </c:marker>
          <c:cat>
            <c:strRef>
              <c:f>'Method Comparison'!$D$2:$D$26</c:f>
              <c:strCache>
                <c:ptCount val="25"/>
                <c:pt idx="0">
                  <c:v>Jan-XmR</c:v>
                </c:pt>
                <c:pt idx="1">
                  <c:v>Feb-XmR</c:v>
                </c:pt>
                <c:pt idx="2">
                  <c:v>Mar-XmR</c:v>
                </c:pt>
                <c:pt idx="3">
                  <c:v>Apr-XmR</c:v>
                </c:pt>
                <c:pt idx="4">
                  <c:v>May-XmR</c:v>
                </c:pt>
                <c:pt idx="5">
                  <c:v>454-XmR</c:v>
                </c:pt>
                <c:pt idx="6">
                  <c:v>454-XmR</c:v>
                </c:pt>
                <c:pt idx="7">
                  <c:v>Aug-XmR</c:v>
                </c:pt>
                <c:pt idx="8">
                  <c:v>455-XmR</c:v>
                </c:pt>
                <c:pt idx="9">
                  <c:v>Oct-XmR</c:v>
                </c:pt>
                <c:pt idx="10">
                  <c:v>Nov-XmR</c:v>
                </c:pt>
                <c:pt idx="11">
                  <c:v>Dec-XmR</c:v>
                </c:pt>
                <c:pt idx="13">
                  <c:v>Jan-Stdev</c:v>
                </c:pt>
                <c:pt idx="14">
                  <c:v>Feb-Stdev</c:v>
                </c:pt>
                <c:pt idx="15">
                  <c:v>Mar-Stdev</c:v>
                </c:pt>
                <c:pt idx="16">
                  <c:v>Apr-Stdev</c:v>
                </c:pt>
                <c:pt idx="17">
                  <c:v>May-Stdev</c:v>
                </c:pt>
                <c:pt idx="18">
                  <c:v>454-Stdev</c:v>
                </c:pt>
                <c:pt idx="19">
                  <c:v>454-Stdev</c:v>
                </c:pt>
                <c:pt idx="20">
                  <c:v>Aug-Stdev</c:v>
                </c:pt>
                <c:pt idx="21">
                  <c:v>455-Stdev</c:v>
                </c:pt>
                <c:pt idx="22">
                  <c:v>Oct-Stdev</c:v>
                </c:pt>
                <c:pt idx="23">
                  <c:v>Nov-Stdev</c:v>
                </c:pt>
                <c:pt idx="24">
                  <c:v>Dec-Stdev</c:v>
                </c:pt>
              </c:strCache>
            </c:strRef>
          </c:cat>
          <c:val>
            <c:numRef>
              <c:f>'Method Comparison'!$G$2:$G$26</c:f>
              <c:numCache>
                <c:formatCode>0.00</c:formatCode>
                <c:ptCount val="25"/>
                <c:pt idx="0">
                  <c:v>4.2267878787878796</c:v>
                </c:pt>
                <c:pt idx="1">
                  <c:v>4.2267878787878796</c:v>
                </c:pt>
                <c:pt idx="2">
                  <c:v>4.2267878787878796</c:v>
                </c:pt>
                <c:pt idx="3">
                  <c:v>4.2267878787878796</c:v>
                </c:pt>
                <c:pt idx="4">
                  <c:v>4.2267878787878796</c:v>
                </c:pt>
                <c:pt idx="5">
                  <c:v>4.2267878787878796</c:v>
                </c:pt>
                <c:pt idx="6">
                  <c:v>4.2267878787878796</c:v>
                </c:pt>
                <c:pt idx="7">
                  <c:v>4.2267878787878796</c:v>
                </c:pt>
                <c:pt idx="8">
                  <c:v>4.2267878787878796</c:v>
                </c:pt>
                <c:pt idx="9">
                  <c:v>4.2267878787878796</c:v>
                </c:pt>
                <c:pt idx="10">
                  <c:v>4.2267878787878796</c:v>
                </c:pt>
                <c:pt idx="11">
                  <c:v>4.2267878787878796</c:v>
                </c:pt>
                <c:pt idx="13">
                  <c:v>4.500432699830248</c:v>
                </c:pt>
                <c:pt idx="14">
                  <c:v>4.500432699830248</c:v>
                </c:pt>
                <c:pt idx="15">
                  <c:v>4.500432699830248</c:v>
                </c:pt>
                <c:pt idx="16">
                  <c:v>4.500432699830248</c:v>
                </c:pt>
                <c:pt idx="17">
                  <c:v>4.500432699830248</c:v>
                </c:pt>
                <c:pt idx="18">
                  <c:v>4.500432699830248</c:v>
                </c:pt>
                <c:pt idx="19">
                  <c:v>4.500432699830248</c:v>
                </c:pt>
                <c:pt idx="20">
                  <c:v>4.500432699830248</c:v>
                </c:pt>
                <c:pt idx="21">
                  <c:v>4.500432699830248</c:v>
                </c:pt>
                <c:pt idx="22">
                  <c:v>4.500432699830248</c:v>
                </c:pt>
                <c:pt idx="23">
                  <c:v>4.500432699830248</c:v>
                </c:pt>
                <c:pt idx="24">
                  <c:v>4.500432699830248</c:v>
                </c:pt>
              </c:numCache>
            </c:numRef>
          </c:val>
          <c:smooth val="0"/>
          <c:extLst>
            <c:ext xmlns:c16="http://schemas.microsoft.com/office/drawing/2014/chart" uri="{C3380CC4-5D6E-409C-BE32-E72D297353CC}">
              <c16:uniqueId val="{00000009-37E0-432B-85CE-56FAFB923437}"/>
            </c:ext>
          </c:extLst>
        </c:ser>
        <c:ser>
          <c:idx val="3"/>
          <c:order val="3"/>
          <c:tx>
            <c:strRef>
              <c:f>'Method Comparison'!$H$1</c:f>
              <c:strCache>
                <c:ptCount val="1"/>
                <c:pt idx="0">
                  <c:v>LPL</c:v>
                </c:pt>
              </c:strCache>
            </c:strRef>
          </c:tx>
          <c:spPr>
            <a:ln w="28575" cap="rnd">
              <a:solidFill>
                <a:schemeClr val="accent2"/>
              </a:solidFill>
              <a:prstDash val="dash"/>
              <a:round/>
            </a:ln>
            <a:effectLst/>
          </c:spPr>
          <c:marker>
            <c:symbol val="none"/>
          </c:marker>
          <c:cat>
            <c:strRef>
              <c:f>'Method Comparison'!$D$2:$D$26</c:f>
              <c:strCache>
                <c:ptCount val="25"/>
                <c:pt idx="0">
                  <c:v>Jan-XmR</c:v>
                </c:pt>
                <c:pt idx="1">
                  <c:v>Feb-XmR</c:v>
                </c:pt>
                <c:pt idx="2">
                  <c:v>Mar-XmR</c:v>
                </c:pt>
                <c:pt idx="3">
                  <c:v>Apr-XmR</c:v>
                </c:pt>
                <c:pt idx="4">
                  <c:v>May-XmR</c:v>
                </c:pt>
                <c:pt idx="5">
                  <c:v>454-XmR</c:v>
                </c:pt>
                <c:pt idx="6">
                  <c:v>454-XmR</c:v>
                </c:pt>
                <c:pt idx="7">
                  <c:v>Aug-XmR</c:v>
                </c:pt>
                <c:pt idx="8">
                  <c:v>455-XmR</c:v>
                </c:pt>
                <c:pt idx="9">
                  <c:v>Oct-XmR</c:v>
                </c:pt>
                <c:pt idx="10">
                  <c:v>Nov-XmR</c:v>
                </c:pt>
                <c:pt idx="11">
                  <c:v>Dec-XmR</c:v>
                </c:pt>
                <c:pt idx="13">
                  <c:v>Jan-Stdev</c:v>
                </c:pt>
                <c:pt idx="14">
                  <c:v>Feb-Stdev</c:v>
                </c:pt>
                <c:pt idx="15">
                  <c:v>Mar-Stdev</c:v>
                </c:pt>
                <c:pt idx="16">
                  <c:v>Apr-Stdev</c:v>
                </c:pt>
                <c:pt idx="17">
                  <c:v>May-Stdev</c:v>
                </c:pt>
                <c:pt idx="18">
                  <c:v>454-Stdev</c:v>
                </c:pt>
                <c:pt idx="19">
                  <c:v>454-Stdev</c:v>
                </c:pt>
                <c:pt idx="20">
                  <c:v>Aug-Stdev</c:v>
                </c:pt>
                <c:pt idx="21">
                  <c:v>455-Stdev</c:v>
                </c:pt>
                <c:pt idx="22">
                  <c:v>Oct-Stdev</c:v>
                </c:pt>
                <c:pt idx="23">
                  <c:v>Nov-Stdev</c:v>
                </c:pt>
                <c:pt idx="24">
                  <c:v>Dec-Stdev</c:v>
                </c:pt>
              </c:strCache>
            </c:strRef>
          </c:cat>
          <c:val>
            <c:numRef>
              <c:f>'Method Comparison'!$H$2:$H$26</c:f>
              <c:numCache>
                <c:formatCode>0.00</c:formatCode>
                <c:ptCount val="25"/>
                <c:pt idx="0">
                  <c:v>3.8398787878787881</c:v>
                </c:pt>
                <c:pt idx="1">
                  <c:v>3.8398787878787881</c:v>
                </c:pt>
                <c:pt idx="2">
                  <c:v>3.8398787878787881</c:v>
                </c:pt>
                <c:pt idx="3">
                  <c:v>3.8398787878787881</c:v>
                </c:pt>
                <c:pt idx="4">
                  <c:v>3.8398787878787881</c:v>
                </c:pt>
                <c:pt idx="5">
                  <c:v>3.8398787878787881</c:v>
                </c:pt>
                <c:pt idx="6">
                  <c:v>3.8398787878787881</c:v>
                </c:pt>
                <c:pt idx="7">
                  <c:v>3.8398787878787881</c:v>
                </c:pt>
                <c:pt idx="8">
                  <c:v>3.8398787878787881</c:v>
                </c:pt>
                <c:pt idx="9">
                  <c:v>3.8398787878787881</c:v>
                </c:pt>
                <c:pt idx="10">
                  <c:v>3.8398787878787881</c:v>
                </c:pt>
                <c:pt idx="11">
                  <c:v>3.8398787878787881</c:v>
                </c:pt>
                <c:pt idx="13">
                  <c:v>3.5662339668364202</c:v>
                </c:pt>
                <c:pt idx="14">
                  <c:v>3.5662339668364202</c:v>
                </c:pt>
                <c:pt idx="15">
                  <c:v>3.5662339668364202</c:v>
                </c:pt>
                <c:pt idx="16">
                  <c:v>3.5662339668364202</c:v>
                </c:pt>
                <c:pt idx="17">
                  <c:v>3.5662339668364202</c:v>
                </c:pt>
                <c:pt idx="18">
                  <c:v>3.5662339668364202</c:v>
                </c:pt>
                <c:pt idx="19">
                  <c:v>3.5662339668364202</c:v>
                </c:pt>
                <c:pt idx="20">
                  <c:v>3.5662339668364202</c:v>
                </c:pt>
                <c:pt idx="21">
                  <c:v>3.5662339668364202</c:v>
                </c:pt>
                <c:pt idx="22">
                  <c:v>3.5662339668364202</c:v>
                </c:pt>
                <c:pt idx="23">
                  <c:v>3.5662339668364202</c:v>
                </c:pt>
                <c:pt idx="24">
                  <c:v>3.5662339668364202</c:v>
                </c:pt>
              </c:numCache>
            </c:numRef>
          </c:val>
          <c:smooth val="0"/>
          <c:extLst>
            <c:ext xmlns:c16="http://schemas.microsoft.com/office/drawing/2014/chart" uri="{C3380CC4-5D6E-409C-BE32-E72D297353CC}">
              <c16:uniqueId val="{0000000B-37E0-432B-85CE-56FAFB923437}"/>
            </c:ext>
          </c:extLst>
        </c:ser>
        <c:dLbls>
          <c:showLegendKey val="0"/>
          <c:showVal val="0"/>
          <c:showCatName val="0"/>
          <c:showSerName val="0"/>
          <c:showPercent val="0"/>
          <c:showBubbleSize val="0"/>
        </c:dLbls>
        <c:marker val="1"/>
        <c:smooth val="0"/>
        <c:axId val="1582966191"/>
        <c:axId val="1582955151"/>
      </c:lineChart>
      <c:catAx>
        <c:axId val="158296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55151"/>
        <c:crosses val="autoZero"/>
        <c:auto val="1"/>
        <c:lblAlgn val="ctr"/>
        <c:lblOffset val="100"/>
        <c:noMultiLvlLbl val="0"/>
      </c:catAx>
      <c:valAx>
        <c:axId val="1582955151"/>
        <c:scaling>
          <c:orientation val="minMax"/>
          <c:min val="3.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Individual Values (X)</a:t>
                </a: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6619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0</xdr:colOff>
      <xdr:row>1</xdr:row>
      <xdr:rowOff>0</xdr:rowOff>
    </xdr:from>
    <xdr:to>
      <xdr:col>18</xdr:col>
      <xdr:colOff>0</xdr:colOff>
      <xdr:row>14</xdr:row>
      <xdr:rowOff>144780</xdr:rowOff>
    </xdr:to>
    <xdr:graphicFrame macro="">
      <xdr:nvGraphicFramePr>
        <xdr:cNvPr id="4" name="Chart 3">
          <a:extLst>
            <a:ext uri="{FF2B5EF4-FFF2-40B4-BE49-F238E27FC236}">
              <a16:creationId xmlns:a16="http://schemas.microsoft.com/office/drawing/2014/main" id="{18F68305-6665-786A-22B7-A0DF533CF0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14</xdr:row>
      <xdr:rowOff>163830</xdr:rowOff>
    </xdr:from>
    <xdr:to>
      <xdr:col>18</xdr:col>
      <xdr:colOff>0</xdr:colOff>
      <xdr:row>28</xdr:row>
      <xdr:rowOff>102870</xdr:rowOff>
    </xdr:to>
    <xdr:graphicFrame macro="">
      <xdr:nvGraphicFramePr>
        <xdr:cNvPr id="5" name="Chart 4">
          <a:extLst>
            <a:ext uri="{FF2B5EF4-FFF2-40B4-BE49-F238E27FC236}">
              <a16:creationId xmlns:a16="http://schemas.microsoft.com/office/drawing/2014/main" id="{3003C2D0-E726-C409-1E54-88580AADE9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1</xdr:row>
      <xdr:rowOff>0</xdr:rowOff>
    </xdr:from>
    <xdr:to>
      <xdr:col>16</xdr:col>
      <xdr:colOff>0</xdr:colOff>
      <xdr:row>14</xdr:row>
      <xdr:rowOff>135255</xdr:rowOff>
    </xdr:to>
    <xdr:graphicFrame macro="">
      <xdr:nvGraphicFramePr>
        <xdr:cNvPr id="4" name="Chart 3">
          <a:extLst>
            <a:ext uri="{FF2B5EF4-FFF2-40B4-BE49-F238E27FC236}">
              <a16:creationId xmlns:a16="http://schemas.microsoft.com/office/drawing/2014/main" id="{89EC2742-84DB-93D3-79F1-0A58651A50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12</xdr:col>
      <xdr:colOff>0</xdr:colOff>
      <xdr:row>24</xdr:row>
      <xdr:rowOff>95250</xdr:rowOff>
    </xdr:from>
    <xdr:to>
      <xdr:col>20</xdr:col>
      <xdr:colOff>0</xdr:colOff>
      <xdr:row>38</xdr:row>
      <xdr:rowOff>83820</xdr:rowOff>
    </xdr:to>
    <xdr:graphicFrame macro="">
      <xdr:nvGraphicFramePr>
        <xdr:cNvPr id="2" name="Chart 1">
          <a:extLst>
            <a:ext uri="{FF2B5EF4-FFF2-40B4-BE49-F238E27FC236}">
              <a16:creationId xmlns:a16="http://schemas.microsoft.com/office/drawing/2014/main" id="{2EE99826-65A3-C296-DF84-1DFF318841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brokenquality.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bls.gov/charts/employment-situation/civilian-unemployment-rate.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M46"/>
  <sheetViews>
    <sheetView showGridLines="0" tabSelected="1" workbookViewId="0">
      <selection sqref="A1:H7"/>
    </sheetView>
  </sheetViews>
  <sheetFormatPr defaultColWidth="12.6640625" defaultRowHeight="15.75" customHeight="1" x14ac:dyDescent="0.25"/>
  <cols>
    <col min="9" max="9" width="3.21875" customWidth="1"/>
    <col min="10" max="13" width="12.6640625" customWidth="1"/>
  </cols>
  <sheetData>
    <row r="1" spans="1:13" ht="24.6" x14ac:dyDescent="0.55000000000000004">
      <c r="A1" s="29" t="e" vm="1">
        <v>#VALUE!</v>
      </c>
      <c r="B1" s="30"/>
      <c r="C1" s="30"/>
      <c r="D1" s="30"/>
      <c r="E1" s="30"/>
      <c r="F1" s="30"/>
      <c r="G1" s="30"/>
      <c r="H1" s="31"/>
      <c r="J1" s="15"/>
      <c r="K1" s="16"/>
      <c r="L1" s="16"/>
      <c r="M1" s="16"/>
    </row>
    <row r="2" spans="1:13" ht="15.75" customHeight="1" x14ac:dyDescent="0.25">
      <c r="A2" s="32"/>
      <c r="B2" s="33"/>
      <c r="C2" s="33"/>
      <c r="D2" s="33"/>
      <c r="E2" s="33"/>
      <c r="F2" s="33"/>
      <c r="G2" s="33"/>
      <c r="H2" s="34"/>
      <c r="J2" s="35"/>
      <c r="K2" s="35"/>
      <c r="L2" s="35"/>
      <c r="M2" s="35"/>
    </row>
    <row r="3" spans="1:13" ht="15.75" customHeight="1" x14ac:dyDescent="0.25">
      <c r="A3" s="32"/>
      <c r="B3" s="33"/>
      <c r="C3" s="33"/>
      <c r="D3" s="33"/>
      <c r="E3" s="33"/>
      <c r="F3" s="33"/>
      <c r="G3" s="33"/>
      <c r="H3" s="34"/>
      <c r="J3" s="35"/>
      <c r="K3" s="35"/>
      <c r="L3" s="35"/>
      <c r="M3" s="35"/>
    </row>
    <row r="4" spans="1:13" ht="15.75" customHeight="1" x14ac:dyDescent="0.25">
      <c r="A4" s="32"/>
      <c r="B4" s="33"/>
      <c r="C4" s="33"/>
      <c r="D4" s="33"/>
      <c r="E4" s="33"/>
      <c r="F4" s="33"/>
      <c r="G4" s="33"/>
      <c r="H4" s="34"/>
      <c r="J4" s="35"/>
      <c r="K4" s="35"/>
      <c r="L4" s="35"/>
      <c r="M4" s="35"/>
    </row>
    <row r="5" spans="1:13" ht="15.75" customHeight="1" x14ac:dyDescent="0.25">
      <c r="A5" s="32"/>
      <c r="B5" s="33"/>
      <c r="C5" s="33"/>
      <c r="D5" s="33"/>
      <c r="E5" s="33"/>
      <c r="F5" s="33"/>
      <c r="G5" s="33"/>
      <c r="H5" s="34"/>
      <c r="J5" s="35"/>
      <c r="K5" s="35"/>
      <c r="L5" s="35"/>
      <c r="M5" s="35"/>
    </row>
    <row r="6" spans="1:13" ht="15.75" customHeight="1" x14ac:dyDescent="0.25">
      <c r="A6" s="32"/>
      <c r="B6" s="33"/>
      <c r="C6" s="33"/>
      <c r="D6" s="33"/>
      <c r="E6" s="33"/>
      <c r="F6" s="33"/>
      <c r="G6" s="33"/>
      <c r="H6" s="34"/>
      <c r="J6" s="35"/>
      <c r="K6" s="35"/>
      <c r="L6" s="35"/>
      <c r="M6" s="35"/>
    </row>
    <row r="7" spans="1:13" ht="15.75" customHeight="1" x14ac:dyDescent="0.25">
      <c r="A7" s="32"/>
      <c r="B7" s="33"/>
      <c r="C7" s="33"/>
      <c r="D7" s="33"/>
      <c r="E7" s="33"/>
      <c r="F7" s="33"/>
      <c r="G7" s="33"/>
      <c r="H7" s="34"/>
      <c r="J7" s="35"/>
      <c r="K7" s="35"/>
      <c r="L7" s="35"/>
      <c r="M7" s="35"/>
    </row>
    <row r="8" spans="1:13" ht="24.6" x14ac:dyDescent="0.55000000000000004">
      <c r="A8" s="17" t="s">
        <v>0</v>
      </c>
      <c r="B8" s="18"/>
      <c r="C8" s="18"/>
      <c r="D8" s="18"/>
      <c r="E8" s="18"/>
      <c r="F8" s="18"/>
      <c r="G8" s="18"/>
      <c r="H8" s="19"/>
    </row>
    <row r="9" spans="1:13" ht="13.2" customHeight="1" x14ac:dyDescent="0.25">
      <c r="A9" s="20" t="s">
        <v>28</v>
      </c>
      <c r="B9" s="21"/>
      <c r="C9" s="21"/>
      <c r="D9" s="21"/>
      <c r="E9" s="21"/>
      <c r="F9" s="21"/>
      <c r="G9" s="21"/>
      <c r="H9" s="22"/>
    </row>
    <row r="10" spans="1:13" ht="15.75" customHeight="1" x14ac:dyDescent="0.25">
      <c r="A10" s="23"/>
      <c r="B10" s="24"/>
      <c r="C10" s="24"/>
      <c r="D10" s="24"/>
      <c r="E10" s="24"/>
      <c r="F10" s="24"/>
      <c r="G10" s="24"/>
      <c r="H10" s="25"/>
    </row>
    <row r="11" spans="1:13" ht="15.75" customHeight="1" x14ac:dyDescent="0.25">
      <c r="A11" s="23"/>
      <c r="B11" s="24"/>
      <c r="C11" s="24"/>
      <c r="D11" s="24"/>
      <c r="E11" s="24"/>
      <c r="F11" s="24"/>
      <c r="G11" s="24"/>
      <c r="H11" s="25"/>
    </row>
    <row r="12" spans="1:13" ht="15.75" customHeight="1" x14ac:dyDescent="0.25">
      <c r="A12" s="23"/>
      <c r="B12" s="24"/>
      <c r="C12" s="24"/>
      <c r="D12" s="24"/>
      <c r="E12" s="24"/>
      <c r="F12" s="24"/>
      <c r="G12" s="24"/>
      <c r="H12" s="25"/>
    </row>
    <row r="13" spans="1:13" ht="15.75" customHeight="1" x14ac:dyDescent="0.25">
      <c r="A13" s="23"/>
      <c r="B13" s="24"/>
      <c r="C13" s="24"/>
      <c r="D13" s="24"/>
      <c r="E13" s="24"/>
      <c r="F13" s="24"/>
      <c r="G13" s="24"/>
      <c r="H13" s="25"/>
    </row>
    <row r="14" spans="1:13" ht="15.75" customHeight="1" x14ac:dyDescent="0.25">
      <c r="A14" s="23"/>
      <c r="B14" s="24"/>
      <c r="C14" s="24"/>
      <c r="D14" s="24"/>
      <c r="E14" s="24"/>
      <c r="F14" s="24"/>
      <c r="G14" s="24"/>
      <c r="H14" s="25"/>
    </row>
    <row r="15" spans="1:13" ht="15.75" customHeight="1" x14ac:dyDescent="0.25">
      <c r="A15" s="23"/>
      <c r="B15" s="24"/>
      <c r="C15" s="24"/>
      <c r="D15" s="24"/>
      <c r="E15" s="24"/>
      <c r="F15" s="24"/>
      <c r="G15" s="24"/>
      <c r="H15" s="25"/>
    </row>
    <row r="16" spans="1:13" ht="15.75" customHeight="1" x14ac:dyDescent="0.25">
      <c r="A16" s="23"/>
      <c r="B16" s="24"/>
      <c r="C16" s="24"/>
      <c r="D16" s="24"/>
      <c r="E16" s="24"/>
      <c r="F16" s="24"/>
      <c r="G16" s="24"/>
      <c r="H16" s="25"/>
    </row>
    <row r="17" spans="1:8" ht="15.75" customHeight="1" x14ac:dyDescent="0.25">
      <c r="A17" s="23"/>
      <c r="B17" s="24"/>
      <c r="C17" s="24"/>
      <c r="D17" s="24"/>
      <c r="E17" s="24"/>
      <c r="F17" s="24"/>
      <c r="G17" s="24"/>
      <c r="H17" s="25"/>
    </row>
    <row r="18" spans="1:8" ht="15.75" customHeight="1" x14ac:dyDescent="0.25">
      <c r="A18" s="23"/>
      <c r="B18" s="24"/>
      <c r="C18" s="24"/>
      <c r="D18" s="24"/>
      <c r="E18" s="24"/>
      <c r="F18" s="24"/>
      <c r="G18" s="24"/>
      <c r="H18" s="25"/>
    </row>
    <row r="19" spans="1:8" ht="15.75" customHeight="1" x14ac:dyDescent="0.25">
      <c r="A19" s="23"/>
      <c r="B19" s="24"/>
      <c r="C19" s="24"/>
      <c r="D19" s="24"/>
      <c r="E19" s="24"/>
      <c r="F19" s="24"/>
      <c r="G19" s="24"/>
      <c r="H19" s="25"/>
    </row>
    <row r="20" spans="1:8" ht="15.75" customHeight="1" x14ac:dyDescent="0.25">
      <c r="A20" s="23"/>
      <c r="B20" s="24"/>
      <c r="C20" s="24"/>
      <c r="D20" s="24"/>
      <c r="E20" s="24"/>
      <c r="F20" s="24"/>
      <c r="G20" s="24"/>
      <c r="H20" s="25"/>
    </row>
    <row r="21" spans="1:8" ht="15.75" customHeight="1" x14ac:dyDescent="0.25">
      <c r="A21" s="23"/>
      <c r="B21" s="24"/>
      <c r="C21" s="24"/>
      <c r="D21" s="24"/>
      <c r="E21" s="24"/>
      <c r="F21" s="24"/>
      <c r="G21" s="24"/>
      <c r="H21" s="25"/>
    </row>
    <row r="22" spans="1:8" ht="15.75" customHeight="1" x14ac:dyDescent="0.25">
      <c r="A22" s="23"/>
      <c r="B22" s="24"/>
      <c r="C22" s="24"/>
      <c r="D22" s="24"/>
      <c r="E22" s="24"/>
      <c r="F22" s="24"/>
      <c r="G22" s="24"/>
      <c r="H22" s="25"/>
    </row>
    <row r="23" spans="1:8" ht="15.75" customHeight="1" x14ac:dyDescent="0.25">
      <c r="A23" s="23"/>
      <c r="B23" s="24"/>
      <c r="C23" s="24"/>
      <c r="D23" s="24"/>
      <c r="E23" s="24"/>
      <c r="F23" s="24"/>
      <c r="G23" s="24"/>
      <c r="H23" s="25"/>
    </row>
    <row r="24" spans="1:8" ht="15.75" customHeight="1" x14ac:dyDescent="0.25">
      <c r="A24" s="23"/>
      <c r="B24" s="24"/>
      <c r="C24" s="24"/>
      <c r="D24" s="24"/>
      <c r="E24" s="24"/>
      <c r="F24" s="24"/>
      <c r="G24" s="24"/>
      <c r="H24" s="25"/>
    </row>
    <row r="25" spans="1:8" ht="15.75" customHeight="1" x14ac:dyDescent="0.25">
      <c r="A25" s="23"/>
      <c r="B25" s="24"/>
      <c r="C25" s="24"/>
      <c r="D25" s="24"/>
      <c r="E25" s="24"/>
      <c r="F25" s="24"/>
      <c r="G25" s="24"/>
      <c r="H25" s="25"/>
    </row>
    <row r="26" spans="1:8" ht="13.2" customHeight="1" x14ac:dyDescent="0.25">
      <c r="A26" s="23"/>
      <c r="B26" s="24"/>
      <c r="C26" s="24"/>
      <c r="D26" s="24"/>
      <c r="E26" s="24"/>
      <c r="F26" s="24"/>
      <c r="G26" s="24"/>
      <c r="H26" s="25"/>
    </row>
    <row r="27" spans="1:8" ht="13.2" customHeight="1" x14ac:dyDescent="0.25">
      <c r="A27" s="23"/>
      <c r="B27" s="24"/>
      <c r="C27" s="24"/>
      <c r="D27" s="24"/>
      <c r="E27" s="24"/>
      <c r="F27" s="24"/>
      <c r="G27" s="24"/>
      <c r="H27" s="25"/>
    </row>
    <row r="28" spans="1:8" ht="13.2" customHeight="1" x14ac:dyDescent="0.25">
      <c r="A28" s="23"/>
      <c r="B28" s="24"/>
      <c r="C28" s="24"/>
      <c r="D28" s="24"/>
      <c r="E28" s="24"/>
      <c r="F28" s="24"/>
      <c r="G28" s="24"/>
      <c r="H28" s="25"/>
    </row>
    <row r="29" spans="1:8" ht="13.2" customHeight="1" x14ac:dyDescent="0.25">
      <c r="A29" s="23"/>
      <c r="B29" s="24"/>
      <c r="C29" s="24"/>
      <c r="D29" s="24"/>
      <c r="E29" s="24"/>
      <c r="F29" s="24"/>
      <c r="G29" s="24"/>
      <c r="H29" s="25"/>
    </row>
    <row r="30" spans="1:8" ht="13.2" customHeight="1" x14ac:dyDescent="0.25">
      <c r="A30" s="23"/>
      <c r="B30" s="24"/>
      <c r="C30" s="24"/>
      <c r="D30" s="24"/>
      <c r="E30" s="24"/>
      <c r="F30" s="24"/>
      <c r="G30" s="24"/>
      <c r="H30" s="25"/>
    </row>
    <row r="31" spans="1:8" ht="13.2" customHeight="1" x14ac:dyDescent="0.25">
      <c r="A31" s="23"/>
      <c r="B31" s="24"/>
      <c r="C31" s="24"/>
      <c r="D31" s="24"/>
      <c r="E31" s="24"/>
      <c r="F31" s="24"/>
      <c r="G31" s="24"/>
      <c r="H31" s="25"/>
    </row>
    <row r="32" spans="1:8" ht="13.2" customHeight="1" x14ac:dyDescent="0.25">
      <c r="A32" s="23"/>
      <c r="B32" s="24"/>
      <c r="C32" s="24"/>
      <c r="D32" s="24"/>
      <c r="E32" s="24"/>
      <c r="F32" s="24"/>
      <c r="G32" s="24"/>
      <c r="H32" s="25"/>
    </row>
    <row r="33" spans="1:8" ht="13.2" customHeight="1" x14ac:dyDescent="0.25">
      <c r="A33" s="23"/>
      <c r="B33" s="24"/>
      <c r="C33" s="24"/>
      <c r="D33" s="24"/>
      <c r="E33" s="24"/>
      <c r="F33" s="24"/>
      <c r="G33" s="24"/>
      <c r="H33" s="25"/>
    </row>
    <row r="34" spans="1:8" ht="13.2" customHeight="1" x14ac:dyDescent="0.25">
      <c r="A34" s="23"/>
      <c r="B34" s="24"/>
      <c r="C34" s="24"/>
      <c r="D34" s="24"/>
      <c r="E34" s="24"/>
      <c r="F34" s="24"/>
      <c r="G34" s="24"/>
      <c r="H34" s="25"/>
    </row>
    <row r="35" spans="1:8" ht="15.75" customHeight="1" x14ac:dyDescent="0.25">
      <c r="A35" s="23"/>
      <c r="B35" s="24"/>
      <c r="C35" s="24"/>
      <c r="D35" s="24"/>
      <c r="E35" s="24"/>
      <c r="F35" s="24"/>
      <c r="G35" s="24"/>
      <c r="H35" s="25"/>
    </row>
    <row r="36" spans="1:8" ht="15.75" customHeight="1" x14ac:dyDescent="0.25">
      <c r="A36" s="23"/>
      <c r="B36" s="24"/>
      <c r="C36" s="24"/>
      <c r="D36" s="24"/>
      <c r="E36" s="24"/>
      <c r="F36" s="24"/>
      <c r="G36" s="24"/>
      <c r="H36" s="25"/>
    </row>
    <row r="37" spans="1:8" ht="15.75" customHeight="1" x14ac:dyDescent="0.25">
      <c r="A37" s="23"/>
      <c r="B37" s="24"/>
      <c r="C37" s="24"/>
      <c r="D37" s="24"/>
      <c r="E37" s="24"/>
      <c r="F37" s="24"/>
      <c r="G37" s="24"/>
      <c r="H37" s="25"/>
    </row>
    <row r="38" spans="1:8" ht="15.75" customHeight="1" x14ac:dyDescent="0.25">
      <c r="A38" s="23"/>
      <c r="B38" s="24"/>
      <c r="C38" s="24"/>
      <c r="D38" s="24"/>
      <c r="E38" s="24"/>
      <c r="F38" s="24"/>
      <c r="G38" s="24"/>
      <c r="H38" s="25"/>
    </row>
    <row r="39" spans="1:8" ht="15.75" customHeight="1" x14ac:dyDescent="0.25">
      <c r="A39" s="23"/>
      <c r="B39" s="24"/>
      <c r="C39" s="24"/>
      <c r="D39" s="24"/>
      <c r="E39" s="24"/>
      <c r="F39" s="24"/>
      <c r="G39" s="24"/>
      <c r="H39" s="25"/>
    </row>
    <row r="40" spans="1:8" ht="15.75" customHeight="1" x14ac:dyDescent="0.25">
      <c r="A40" s="23"/>
      <c r="B40" s="24"/>
      <c r="C40" s="24"/>
      <c r="D40" s="24"/>
      <c r="E40" s="24"/>
      <c r="F40" s="24"/>
      <c r="G40" s="24"/>
      <c r="H40" s="25"/>
    </row>
    <row r="41" spans="1:8" ht="15.75" customHeight="1" x14ac:dyDescent="0.25">
      <c r="A41" s="23"/>
      <c r="B41" s="24"/>
      <c r="C41" s="24"/>
      <c r="D41" s="24"/>
      <c r="E41" s="24"/>
      <c r="F41" s="24"/>
      <c r="G41" s="24"/>
      <c r="H41" s="25"/>
    </row>
    <row r="42" spans="1:8" ht="15.75" customHeight="1" x14ac:dyDescent="0.25">
      <c r="A42" s="23"/>
      <c r="B42" s="24"/>
      <c r="C42" s="24"/>
      <c r="D42" s="24"/>
      <c r="E42" s="24"/>
      <c r="F42" s="24"/>
      <c r="G42" s="24"/>
      <c r="H42" s="25"/>
    </row>
    <row r="43" spans="1:8" ht="15.75" customHeight="1" x14ac:dyDescent="0.25">
      <c r="A43" s="23"/>
      <c r="B43" s="24"/>
      <c r="C43" s="24"/>
      <c r="D43" s="24"/>
      <c r="E43" s="24"/>
      <c r="F43" s="24"/>
      <c r="G43" s="24"/>
      <c r="H43" s="25"/>
    </row>
    <row r="44" spans="1:8" ht="15.75" customHeight="1" x14ac:dyDescent="0.25">
      <c r="A44" s="23"/>
      <c r="B44" s="24"/>
      <c r="C44" s="24"/>
      <c r="D44" s="24"/>
      <c r="E44" s="24"/>
      <c r="F44" s="24"/>
      <c r="G44" s="24"/>
      <c r="H44" s="25"/>
    </row>
    <row r="45" spans="1:8" ht="15.75" customHeight="1" x14ac:dyDescent="0.25">
      <c r="A45" s="23"/>
      <c r="B45" s="24"/>
      <c r="C45" s="24"/>
      <c r="D45" s="24"/>
      <c r="E45" s="24"/>
      <c r="F45" s="24"/>
      <c r="G45" s="24"/>
      <c r="H45" s="25"/>
    </row>
    <row r="46" spans="1:8" ht="15.75" customHeight="1" x14ac:dyDescent="0.25">
      <c r="A46" s="26"/>
      <c r="B46" s="27"/>
      <c r="C46" s="27"/>
      <c r="D46" s="27"/>
      <c r="E46" s="27"/>
      <c r="F46" s="27"/>
      <c r="G46" s="27"/>
      <c r="H46" s="28"/>
    </row>
  </sheetData>
  <mergeCells count="5">
    <mergeCell ref="J1:M1"/>
    <mergeCell ref="A8:H8"/>
    <mergeCell ref="A9:H46"/>
    <mergeCell ref="A1:H7"/>
    <mergeCell ref="J2:M7"/>
  </mergeCells>
  <hyperlinks>
    <hyperlink ref="A8" r:id="rId1" xr:uid="{00000000-0004-0000-0000-000000000000}"/>
  </hyperlinks>
  <printOptions horizontalCentered="1" gridLines="1"/>
  <pageMargins left="0.7" right="0.7" top="0.75" bottom="0.75" header="0" footer="0"/>
  <pageSetup fitToHeight="0" pageOrder="overThenDown" orientation="portrait"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1000"/>
  <sheetViews>
    <sheetView showGridLines="0" workbookViewId="0">
      <selection activeCell="K2" sqref="K2"/>
    </sheetView>
  </sheetViews>
  <sheetFormatPr defaultColWidth="12.6640625" defaultRowHeight="15.75" customHeight="1" x14ac:dyDescent="0.25"/>
  <cols>
    <col min="1" max="1" width="10.44140625" bestFit="1" customWidth="1"/>
    <col min="2" max="2" width="6" bestFit="1" customWidth="1"/>
    <col min="3" max="3" width="4.6640625" bestFit="1" customWidth="1"/>
    <col min="4" max="4" width="5.77734375" bestFit="1" customWidth="1"/>
    <col min="5" max="6" width="4.5546875" bestFit="1" customWidth="1"/>
    <col min="7" max="7" width="4" bestFit="1" customWidth="1"/>
    <col min="8" max="8" width="7.77734375" bestFit="1" customWidth="1"/>
    <col min="9" max="9" width="4.5546875" bestFit="1" customWidth="1"/>
    <col min="10" max="10" width="3.21875" customWidth="1"/>
  </cols>
  <sheetData>
    <row r="1" spans="1:27" ht="24.6" x14ac:dyDescent="0.55000000000000004">
      <c r="A1" s="1" t="s">
        <v>1</v>
      </c>
      <c r="B1" s="2" t="s">
        <v>2</v>
      </c>
      <c r="C1" s="3" t="s">
        <v>3</v>
      </c>
      <c r="D1" s="3" t="s">
        <v>4</v>
      </c>
      <c r="E1" s="3" t="s">
        <v>5</v>
      </c>
      <c r="F1" s="3" t="s">
        <v>6</v>
      </c>
      <c r="G1" s="3" t="s">
        <v>7</v>
      </c>
      <c r="H1" s="3" t="s">
        <v>8</v>
      </c>
      <c r="I1" s="3" t="s">
        <v>9</v>
      </c>
      <c r="J1" s="4"/>
      <c r="K1" s="45" t="s">
        <v>30</v>
      </c>
      <c r="L1" s="46"/>
      <c r="M1" s="46"/>
      <c r="N1" s="46"/>
      <c r="O1" s="46"/>
      <c r="P1" s="46"/>
      <c r="Q1" s="46"/>
      <c r="R1" s="46"/>
      <c r="S1" s="4"/>
      <c r="T1" s="4"/>
      <c r="U1" s="4"/>
      <c r="V1" s="4"/>
      <c r="W1" s="4"/>
      <c r="X1" s="4"/>
      <c r="Y1" s="4"/>
      <c r="Z1" s="4"/>
      <c r="AA1" s="4"/>
    </row>
    <row r="2" spans="1:27" x14ac:dyDescent="0.25">
      <c r="A2" s="5" t="s">
        <v>10</v>
      </c>
      <c r="B2" s="4" t="str">
        <f t="shared" ref="B2:B13" si="0">LEFT(A2,3)</f>
        <v>Jan</v>
      </c>
      <c r="C2" s="6">
        <v>3.7</v>
      </c>
      <c r="D2" s="7">
        <f>AVERAGE(C2:C13)</f>
        <v>4.0333333333333341</v>
      </c>
      <c r="E2" s="7">
        <f>D2+(2.66*H2)</f>
        <v>4.2267878787878796</v>
      </c>
      <c r="F2" s="7">
        <f>D2-(2.66*H2)</f>
        <v>3.8398787878787881</v>
      </c>
      <c r="G2" s="4"/>
      <c r="H2" s="7">
        <f>AVERAGE(G3:G13)</f>
        <v>7.2727272727272876E-2</v>
      </c>
      <c r="I2" s="7">
        <f>3.238*H2</f>
        <v>0.23549090909090958</v>
      </c>
      <c r="J2" s="4"/>
      <c r="K2" s="4"/>
      <c r="L2" s="4"/>
      <c r="M2" s="4"/>
      <c r="N2" s="4"/>
      <c r="O2" s="4"/>
      <c r="P2" s="4"/>
      <c r="Q2" s="4"/>
      <c r="R2" s="4"/>
      <c r="S2" s="4"/>
      <c r="T2" s="4"/>
      <c r="U2" s="4"/>
      <c r="V2" s="4"/>
      <c r="W2" s="4"/>
      <c r="X2" s="4"/>
      <c r="Y2" s="4"/>
      <c r="Z2" s="4"/>
      <c r="AA2" s="4"/>
    </row>
    <row r="3" spans="1:27" x14ac:dyDescent="0.25">
      <c r="A3" s="5" t="s">
        <v>11</v>
      </c>
      <c r="B3" s="4" t="str">
        <f t="shared" si="0"/>
        <v>Feb</v>
      </c>
      <c r="C3" s="6">
        <v>3.9</v>
      </c>
      <c r="D3" s="7">
        <f t="shared" ref="D3:F3" si="1">D2</f>
        <v>4.0333333333333341</v>
      </c>
      <c r="E3" s="7">
        <f t="shared" si="1"/>
        <v>4.2267878787878796</v>
      </c>
      <c r="F3" s="7">
        <f t="shared" si="1"/>
        <v>3.8398787878787881</v>
      </c>
      <c r="G3" s="6">
        <f t="shared" ref="G3:G13" si="2">ABS(C2-C3)</f>
        <v>0.19999999999999973</v>
      </c>
      <c r="H3" s="7">
        <f t="shared" ref="H3:I3" si="3">H2</f>
        <v>7.2727272727272876E-2</v>
      </c>
      <c r="I3" s="7">
        <f t="shared" si="3"/>
        <v>0.23549090909090958</v>
      </c>
      <c r="J3" s="4"/>
      <c r="K3" s="4"/>
      <c r="L3" s="4"/>
      <c r="M3" s="4"/>
      <c r="N3" s="4"/>
      <c r="O3" s="4"/>
      <c r="P3" s="4"/>
      <c r="Q3" s="4"/>
      <c r="R3" s="4"/>
      <c r="S3" s="4"/>
      <c r="T3" s="4"/>
      <c r="U3" s="4"/>
      <c r="V3" s="4"/>
      <c r="W3" s="4"/>
      <c r="X3" s="4"/>
      <c r="Y3" s="4"/>
      <c r="Z3" s="4"/>
      <c r="AA3" s="4"/>
    </row>
    <row r="4" spans="1:27" x14ac:dyDescent="0.25">
      <c r="A4" s="5" t="s">
        <v>12</v>
      </c>
      <c r="B4" s="4" t="str">
        <f t="shared" si="0"/>
        <v>Mar</v>
      </c>
      <c r="C4" s="6">
        <v>3.9</v>
      </c>
      <c r="D4" s="7">
        <f t="shared" ref="D4:F4" si="4">D3</f>
        <v>4.0333333333333341</v>
      </c>
      <c r="E4" s="7">
        <f t="shared" si="4"/>
        <v>4.2267878787878796</v>
      </c>
      <c r="F4" s="7">
        <f t="shared" si="4"/>
        <v>3.8398787878787881</v>
      </c>
      <c r="G4" s="6">
        <f t="shared" si="2"/>
        <v>0</v>
      </c>
      <c r="H4" s="7">
        <f t="shared" ref="H4:I4" si="5">H3</f>
        <v>7.2727272727272876E-2</v>
      </c>
      <c r="I4" s="7">
        <f t="shared" si="5"/>
        <v>0.23549090909090958</v>
      </c>
      <c r="J4" s="4"/>
      <c r="K4" s="4"/>
      <c r="L4" s="4"/>
      <c r="M4" s="4"/>
      <c r="N4" s="4"/>
      <c r="O4" s="4"/>
      <c r="P4" s="4"/>
      <c r="Q4" s="4"/>
      <c r="R4" s="4"/>
      <c r="S4" s="4"/>
      <c r="T4" s="4"/>
      <c r="U4" s="4"/>
      <c r="V4" s="4"/>
      <c r="W4" s="4"/>
      <c r="X4" s="4"/>
      <c r="Y4" s="4"/>
      <c r="Z4" s="4"/>
      <c r="AA4" s="4"/>
    </row>
    <row r="5" spans="1:27" x14ac:dyDescent="0.25">
      <c r="A5" s="5" t="s">
        <v>13</v>
      </c>
      <c r="B5" s="4" t="str">
        <f t="shared" si="0"/>
        <v>Apr</v>
      </c>
      <c r="C5" s="6">
        <v>3.9</v>
      </c>
      <c r="D5" s="7">
        <f t="shared" ref="D5:F5" si="6">D4</f>
        <v>4.0333333333333341</v>
      </c>
      <c r="E5" s="7">
        <f t="shared" si="6"/>
        <v>4.2267878787878796</v>
      </c>
      <c r="F5" s="7">
        <f t="shared" si="6"/>
        <v>3.8398787878787881</v>
      </c>
      <c r="G5" s="6">
        <f t="shared" si="2"/>
        <v>0</v>
      </c>
      <c r="H5" s="7">
        <f t="shared" ref="H5:I5" si="7">H4</f>
        <v>7.2727272727272876E-2</v>
      </c>
      <c r="I5" s="7">
        <f t="shared" si="7"/>
        <v>0.23549090909090958</v>
      </c>
      <c r="J5" s="4"/>
      <c r="K5" s="4"/>
      <c r="L5" s="4"/>
      <c r="M5" s="4"/>
      <c r="N5" s="4"/>
      <c r="O5" s="4"/>
      <c r="P5" s="4"/>
      <c r="Q5" s="4"/>
      <c r="R5" s="4"/>
      <c r="S5" s="4"/>
      <c r="T5" s="4"/>
      <c r="U5" s="4"/>
      <c r="V5" s="4"/>
      <c r="W5" s="4"/>
      <c r="X5" s="4"/>
      <c r="Y5" s="4"/>
      <c r="Z5" s="4"/>
      <c r="AA5" s="4"/>
    </row>
    <row r="6" spans="1:27" x14ac:dyDescent="0.25">
      <c r="A6" s="5" t="s">
        <v>14</v>
      </c>
      <c r="B6" s="4" t="str">
        <f t="shared" si="0"/>
        <v>May</v>
      </c>
      <c r="C6" s="8">
        <v>4</v>
      </c>
      <c r="D6" s="7">
        <f t="shared" ref="D6:F6" si="8">D5</f>
        <v>4.0333333333333341</v>
      </c>
      <c r="E6" s="7">
        <f t="shared" si="8"/>
        <v>4.2267878787878796</v>
      </c>
      <c r="F6" s="7">
        <f t="shared" si="8"/>
        <v>3.8398787878787881</v>
      </c>
      <c r="G6" s="6">
        <f t="shared" si="2"/>
        <v>0.10000000000000009</v>
      </c>
      <c r="H6" s="7">
        <f t="shared" ref="H6:I6" si="9">H5</f>
        <v>7.2727272727272876E-2</v>
      </c>
      <c r="I6" s="7">
        <f t="shared" si="9"/>
        <v>0.23549090909090958</v>
      </c>
      <c r="J6" s="4"/>
      <c r="K6" s="4"/>
      <c r="L6" s="4"/>
      <c r="M6" s="4"/>
      <c r="N6" s="4"/>
      <c r="O6" s="4"/>
      <c r="P6" s="4"/>
      <c r="Q6" s="4"/>
      <c r="R6" s="4"/>
      <c r="S6" s="4"/>
      <c r="T6" s="4"/>
      <c r="U6" s="4"/>
      <c r="V6" s="4"/>
      <c r="W6" s="4"/>
      <c r="X6" s="4"/>
      <c r="Y6" s="4"/>
      <c r="Z6" s="4"/>
      <c r="AA6" s="4"/>
    </row>
    <row r="7" spans="1:27" x14ac:dyDescent="0.25">
      <c r="A7" s="9">
        <v>45444</v>
      </c>
      <c r="B7" s="4" t="str">
        <f t="shared" si="0"/>
        <v>454</v>
      </c>
      <c r="C7" s="6">
        <v>4.0999999999999996</v>
      </c>
      <c r="D7" s="7">
        <f t="shared" ref="D7:F7" si="10">D6</f>
        <v>4.0333333333333341</v>
      </c>
      <c r="E7" s="7">
        <f t="shared" si="10"/>
        <v>4.2267878787878796</v>
      </c>
      <c r="F7" s="7">
        <f t="shared" si="10"/>
        <v>3.8398787878787881</v>
      </c>
      <c r="G7" s="6">
        <f t="shared" si="2"/>
        <v>9.9999999999999645E-2</v>
      </c>
      <c r="H7" s="7">
        <f t="shared" ref="H7:I7" si="11">H6</f>
        <v>7.2727272727272876E-2</v>
      </c>
      <c r="I7" s="7">
        <f t="shared" si="11"/>
        <v>0.23549090909090958</v>
      </c>
      <c r="J7" s="4"/>
      <c r="K7" s="4"/>
      <c r="L7" s="4"/>
      <c r="M7" s="4"/>
      <c r="N7" s="4"/>
      <c r="O7" s="4"/>
      <c r="P7" s="4"/>
      <c r="Q7" s="4"/>
      <c r="R7" s="4"/>
      <c r="S7" s="4"/>
      <c r="T7" s="4"/>
      <c r="U7" s="4"/>
      <c r="V7" s="4"/>
      <c r="W7" s="4"/>
      <c r="X7" s="4"/>
      <c r="Y7" s="4"/>
      <c r="Z7" s="4"/>
      <c r="AA7" s="4"/>
    </row>
    <row r="8" spans="1:27" x14ac:dyDescent="0.25">
      <c r="A8" s="9">
        <v>45474</v>
      </c>
      <c r="B8" s="4" t="str">
        <f t="shared" si="0"/>
        <v>454</v>
      </c>
      <c r="C8" s="6">
        <v>4.2</v>
      </c>
      <c r="D8" s="7">
        <f t="shared" ref="D8:F8" si="12">D7</f>
        <v>4.0333333333333341</v>
      </c>
      <c r="E8" s="7">
        <f t="shared" si="12"/>
        <v>4.2267878787878796</v>
      </c>
      <c r="F8" s="7">
        <f t="shared" si="12"/>
        <v>3.8398787878787881</v>
      </c>
      <c r="G8" s="6">
        <f t="shared" si="2"/>
        <v>0.10000000000000053</v>
      </c>
      <c r="H8" s="7">
        <f t="shared" ref="H8:I8" si="13">H7</f>
        <v>7.2727272727272876E-2</v>
      </c>
      <c r="I8" s="7">
        <f t="shared" si="13"/>
        <v>0.23549090909090958</v>
      </c>
      <c r="J8" s="4"/>
      <c r="K8" s="4"/>
      <c r="L8" s="4"/>
      <c r="M8" s="4"/>
      <c r="N8" s="4"/>
      <c r="O8" s="4"/>
      <c r="P8" s="4"/>
      <c r="Q8" s="4"/>
      <c r="R8" s="4"/>
      <c r="S8" s="4"/>
      <c r="T8" s="4"/>
      <c r="U8" s="4"/>
      <c r="V8" s="4"/>
      <c r="W8" s="4"/>
      <c r="X8" s="4"/>
      <c r="Y8" s="4"/>
      <c r="Z8" s="4"/>
      <c r="AA8" s="4"/>
    </row>
    <row r="9" spans="1:27" x14ac:dyDescent="0.25">
      <c r="A9" s="5" t="s">
        <v>15</v>
      </c>
      <c r="B9" s="4" t="str">
        <f t="shared" si="0"/>
        <v>Aug</v>
      </c>
      <c r="C9" s="6">
        <v>4.2</v>
      </c>
      <c r="D9" s="7">
        <f t="shared" ref="D9:F9" si="14">D8</f>
        <v>4.0333333333333341</v>
      </c>
      <c r="E9" s="7">
        <f t="shared" si="14"/>
        <v>4.2267878787878796</v>
      </c>
      <c r="F9" s="7">
        <f t="shared" si="14"/>
        <v>3.8398787878787881</v>
      </c>
      <c r="G9" s="6">
        <f t="shared" si="2"/>
        <v>0</v>
      </c>
      <c r="H9" s="7">
        <f t="shared" ref="H9:I9" si="15">H8</f>
        <v>7.2727272727272876E-2</v>
      </c>
      <c r="I9" s="7">
        <f t="shared" si="15"/>
        <v>0.23549090909090958</v>
      </c>
      <c r="J9" s="4"/>
      <c r="K9" s="4"/>
      <c r="L9" s="4"/>
      <c r="M9" s="4"/>
      <c r="N9" s="4"/>
      <c r="O9" s="4"/>
      <c r="P9" s="4"/>
      <c r="Q9" s="4"/>
      <c r="R9" s="4"/>
      <c r="S9" s="4"/>
      <c r="T9" s="4"/>
      <c r="U9" s="4"/>
      <c r="V9" s="4"/>
      <c r="W9" s="4"/>
      <c r="X9" s="4"/>
      <c r="Y9" s="4"/>
      <c r="Z9" s="4"/>
      <c r="AA9" s="4"/>
    </row>
    <row r="10" spans="1:27" x14ac:dyDescent="0.25">
      <c r="A10" s="9">
        <v>45536</v>
      </c>
      <c r="B10" s="4" t="str">
        <f t="shared" si="0"/>
        <v>455</v>
      </c>
      <c r="C10" s="6">
        <v>4.0999999999999996</v>
      </c>
      <c r="D10" s="7">
        <f t="shared" ref="D10:F10" si="16">D9</f>
        <v>4.0333333333333341</v>
      </c>
      <c r="E10" s="7">
        <f t="shared" si="16"/>
        <v>4.2267878787878796</v>
      </c>
      <c r="F10" s="7">
        <f t="shared" si="16"/>
        <v>3.8398787878787881</v>
      </c>
      <c r="G10" s="6">
        <f t="shared" si="2"/>
        <v>0.10000000000000053</v>
      </c>
      <c r="H10" s="7">
        <f t="shared" ref="H10:I10" si="17">H9</f>
        <v>7.2727272727272876E-2</v>
      </c>
      <c r="I10" s="7">
        <f t="shared" si="17"/>
        <v>0.23549090909090958</v>
      </c>
      <c r="J10" s="4"/>
      <c r="K10" s="4"/>
      <c r="L10" s="4"/>
      <c r="M10" s="4"/>
      <c r="N10" s="4"/>
      <c r="O10" s="4"/>
      <c r="P10" s="4"/>
      <c r="Q10" s="4"/>
      <c r="R10" s="4"/>
      <c r="S10" s="4"/>
      <c r="T10" s="4"/>
      <c r="U10" s="4"/>
      <c r="V10" s="4"/>
      <c r="W10" s="4"/>
      <c r="X10" s="4"/>
      <c r="Y10" s="4"/>
      <c r="Z10" s="4"/>
      <c r="AA10" s="4"/>
    </row>
    <row r="11" spans="1:27" x14ac:dyDescent="0.25">
      <c r="A11" s="5" t="s">
        <v>16</v>
      </c>
      <c r="B11" s="4" t="str">
        <f t="shared" si="0"/>
        <v>Oct</v>
      </c>
      <c r="C11" s="6">
        <v>4.0999999999999996</v>
      </c>
      <c r="D11" s="7">
        <f t="shared" ref="D11:F11" si="18">D10</f>
        <v>4.0333333333333341</v>
      </c>
      <c r="E11" s="7">
        <f t="shared" si="18"/>
        <v>4.2267878787878796</v>
      </c>
      <c r="F11" s="7">
        <f t="shared" si="18"/>
        <v>3.8398787878787881</v>
      </c>
      <c r="G11" s="6">
        <f t="shared" si="2"/>
        <v>0</v>
      </c>
      <c r="H11" s="7">
        <f t="shared" ref="H11:I11" si="19">H10</f>
        <v>7.2727272727272876E-2</v>
      </c>
      <c r="I11" s="7">
        <f t="shared" si="19"/>
        <v>0.23549090909090958</v>
      </c>
      <c r="J11" s="4"/>
      <c r="K11" s="4"/>
      <c r="L11" s="4"/>
      <c r="M11" s="4"/>
      <c r="N11" s="4"/>
      <c r="O11" s="4"/>
      <c r="P11" s="4"/>
      <c r="Q11" s="4"/>
      <c r="R11" s="4"/>
      <c r="S11" s="4"/>
      <c r="T11" s="4"/>
      <c r="U11" s="4"/>
      <c r="V11" s="4"/>
      <c r="W11" s="4"/>
      <c r="X11" s="4"/>
      <c r="Y11" s="4"/>
      <c r="Z11" s="4"/>
      <c r="AA11" s="4"/>
    </row>
    <row r="12" spans="1:27" x14ac:dyDescent="0.25">
      <c r="A12" s="5" t="s">
        <v>17</v>
      </c>
      <c r="B12" s="4" t="str">
        <f t="shared" si="0"/>
        <v>Nov</v>
      </c>
      <c r="C12" s="6">
        <v>4.2</v>
      </c>
      <c r="D12" s="7">
        <f t="shared" ref="D12:F12" si="20">D11</f>
        <v>4.0333333333333341</v>
      </c>
      <c r="E12" s="7">
        <f t="shared" si="20"/>
        <v>4.2267878787878796</v>
      </c>
      <c r="F12" s="7">
        <f t="shared" si="20"/>
        <v>3.8398787878787881</v>
      </c>
      <c r="G12" s="6">
        <f t="shared" si="2"/>
        <v>0.10000000000000053</v>
      </c>
      <c r="H12" s="7">
        <f t="shared" ref="H12:I12" si="21">H11</f>
        <v>7.2727272727272876E-2</v>
      </c>
      <c r="I12" s="7">
        <f t="shared" si="21"/>
        <v>0.23549090909090958</v>
      </c>
      <c r="J12" s="4"/>
      <c r="K12" s="4"/>
      <c r="L12" s="4"/>
      <c r="M12" s="4"/>
      <c r="N12" s="4"/>
      <c r="O12" s="4"/>
      <c r="P12" s="4"/>
      <c r="Q12" s="4"/>
      <c r="R12" s="4"/>
      <c r="S12" s="4"/>
      <c r="T12" s="4"/>
      <c r="U12" s="4"/>
      <c r="V12" s="4"/>
      <c r="W12" s="4"/>
      <c r="X12" s="4"/>
      <c r="Y12" s="4"/>
      <c r="Z12" s="4"/>
      <c r="AA12" s="4"/>
    </row>
    <row r="13" spans="1:27" x14ac:dyDescent="0.25">
      <c r="A13" s="5" t="s">
        <v>18</v>
      </c>
      <c r="B13" s="4" t="str">
        <f t="shared" si="0"/>
        <v>Dec</v>
      </c>
      <c r="C13" s="6">
        <v>4.0999999999999996</v>
      </c>
      <c r="D13" s="7">
        <f t="shared" ref="D13:F13" si="22">D12</f>
        <v>4.0333333333333341</v>
      </c>
      <c r="E13" s="7">
        <f t="shared" si="22"/>
        <v>4.2267878787878796</v>
      </c>
      <c r="F13" s="7">
        <f t="shared" si="22"/>
        <v>3.8398787878787881</v>
      </c>
      <c r="G13" s="6">
        <f t="shared" si="2"/>
        <v>0.10000000000000053</v>
      </c>
      <c r="H13" s="7">
        <f t="shared" ref="H13:I13" si="23">H12</f>
        <v>7.2727272727272876E-2</v>
      </c>
      <c r="I13" s="7">
        <f t="shared" si="23"/>
        <v>0.23549090909090958</v>
      </c>
      <c r="J13" s="4"/>
      <c r="K13" s="4"/>
      <c r="L13" s="4"/>
      <c r="M13" s="4"/>
      <c r="N13" s="4"/>
      <c r="O13" s="4"/>
      <c r="P13" s="4"/>
      <c r="Q13" s="4"/>
      <c r="R13" s="4"/>
      <c r="S13" s="4"/>
      <c r="T13" s="4"/>
      <c r="U13" s="4"/>
      <c r="V13" s="4"/>
      <c r="W13" s="4"/>
      <c r="X13" s="4"/>
      <c r="Y13" s="4"/>
      <c r="Z13" s="4"/>
      <c r="AA13" s="4"/>
    </row>
    <row r="14" spans="1:27" x14ac:dyDescent="0.25">
      <c r="A14" s="4"/>
      <c r="B14" s="4"/>
      <c r="C14" s="4"/>
      <c r="D14" s="4"/>
      <c r="E14" s="4"/>
      <c r="F14" s="4"/>
      <c r="G14" s="4"/>
      <c r="H14" s="4"/>
      <c r="I14" s="4"/>
      <c r="J14" s="4"/>
      <c r="K14" s="4"/>
      <c r="L14" s="4"/>
      <c r="M14" s="4"/>
      <c r="N14" s="4"/>
      <c r="O14" s="4"/>
      <c r="P14" s="4"/>
      <c r="Q14" s="4"/>
      <c r="R14" s="4"/>
      <c r="S14" s="4"/>
      <c r="T14" s="4"/>
      <c r="U14" s="4"/>
      <c r="V14" s="4"/>
      <c r="W14" s="4"/>
      <c r="X14" s="4"/>
      <c r="Y14" s="4"/>
      <c r="Z14" s="4"/>
      <c r="AA14" s="4"/>
    </row>
    <row r="15" spans="1:27" x14ac:dyDescent="0.25">
      <c r="A15" s="4"/>
      <c r="B15" s="4"/>
      <c r="C15" s="4"/>
      <c r="D15" s="4"/>
      <c r="E15" s="4"/>
      <c r="F15" s="4"/>
      <c r="G15" s="4"/>
      <c r="H15" s="4"/>
      <c r="I15" s="4"/>
      <c r="J15" s="4"/>
      <c r="K15" s="4"/>
      <c r="L15" s="4"/>
      <c r="M15" s="4"/>
      <c r="N15" s="4"/>
      <c r="O15" s="4"/>
      <c r="P15" s="4"/>
      <c r="Q15" s="4"/>
      <c r="R15" s="4"/>
      <c r="S15" s="4"/>
      <c r="T15" s="4"/>
      <c r="U15" s="4"/>
      <c r="V15" s="4"/>
      <c r="W15" s="4"/>
      <c r="X15" s="4"/>
      <c r="Y15" s="4"/>
      <c r="Z15" s="4"/>
      <c r="AA15" s="4"/>
    </row>
    <row r="16" spans="1:27" x14ac:dyDescent="0.25">
      <c r="A16" s="4"/>
      <c r="B16" s="4"/>
      <c r="C16" s="4"/>
      <c r="D16" s="4"/>
      <c r="E16" s="4"/>
      <c r="F16" s="4"/>
      <c r="G16" s="4"/>
      <c r="H16" s="4"/>
      <c r="I16" s="4"/>
      <c r="J16" s="4"/>
      <c r="K16" s="4"/>
      <c r="L16" s="4"/>
      <c r="M16" s="4"/>
      <c r="N16" s="4"/>
      <c r="O16" s="4"/>
      <c r="P16" s="4"/>
      <c r="Q16" s="4"/>
      <c r="R16" s="4"/>
      <c r="S16" s="4"/>
      <c r="T16" s="4"/>
      <c r="U16" s="4"/>
      <c r="V16" s="4"/>
      <c r="W16" s="4"/>
      <c r="X16" s="4"/>
      <c r="Y16" s="4"/>
      <c r="Z16" s="4"/>
      <c r="AA16" s="4"/>
    </row>
    <row r="17" spans="1:27" x14ac:dyDescent="0.25">
      <c r="A17" s="4"/>
      <c r="B17" s="4"/>
      <c r="C17" s="4"/>
      <c r="D17" s="4"/>
      <c r="E17" s="4"/>
      <c r="F17" s="4"/>
      <c r="G17" s="4"/>
      <c r="H17" s="4"/>
      <c r="I17" s="4"/>
      <c r="J17" s="4"/>
      <c r="K17" s="4"/>
      <c r="L17" s="4"/>
      <c r="M17" s="4"/>
      <c r="N17" s="4"/>
      <c r="O17" s="4"/>
      <c r="P17" s="4"/>
      <c r="Q17" s="4"/>
      <c r="R17" s="4"/>
      <c r="S17" s="4"/>
      <c r="T17" s="4"/>
      <c r="U17" s="4"/>
      <c r="V17" s="4"/>
      <c r="W17" s="4"/>
      <c r="X17" s="4"/>
      <c r="Y17" s="4"/>
      <c r="Z17" s="4"/>
      <c r="AA17" s="4"/>
    </row>
    <row r="18" spans="1:27" x14ac:dyDescent="0.25">
      <c r="A18" s="4"/>
      <c r="B18" s="4"/>
      <c r="C18" s="4"/>
      <c r="D18" s="4"/>
      <c r="E18" s="4"/>
      <c r="F18" s="4"/>
      <c r="G18" s="4"/>
      <c r="H18" s="4"/>
      <c r="I18" s="4"/>
      <c r="J18" s="4"/>
      <c r="K18" s="4"/>
      <c r="L18" s="4"/>
      <c r="M18" s="4"/>
      <c r="N18" s="4"/>
      <c r="O18" s="4"/>
      <c r="P18" s="4"/>
      <c r="Q18" s="4"/>
      <c r="R18" s="4"/>
      <c r="S18" s="4"/>
      <c r="T18" s="4"/>
      <c r="U18" s="4"/>
      <c r="V18" s="4"/>
      <c r="W18" s="4"/>
      <c r="X18" s="4"/>
      <c r="Y18" s="4"/>
      <c r="Z18" s="4"/>
      <c r="AA18" s="4"/>
    </row>
    <row r="19" spans="1:27" x14ac:dyDescent="0.25">
      <c r="A19" s="4"/>
      <c r="B19" s="4"/>
      <c r="C19" s="4"/>
      <c r="D19" s="4"/>
      <c r="E19" s="4"/>
      <c r="F19" s="4"/>
      <c r="G19" s="4"/>
      <c r="H19" s="4"/>
      <c r="I19" s="4"/>
      <c r="J19" s="4"/>
      <c r="K19" s="4"/>
      <c r="L19" s="4"/>
      <c r="M19" s="4"/>
      <c r="N19" s="4"/>
      <c r="O19" s="4"/>
      <c r="P19" s="4"/>
      <c r="Q19" s="4"/>
      <c r="R19" s="4"/>
      <c r="S19" s="4"/>
      <c r="T19" s="4"/>
      <c r="U19" s="4"/>
      <c r="V19" s="4"/>
      <c r="W19" s="4"/>
      <c r="X19" s="4"/>
      <c r="Y19" s="4"/>
      <c r="Z19" s="4"/>
      <c r="AA19" s="4"/>
    </row>
    <row r="20" spans="1:27" x14ac:dyDescent="0.25">
      <c r="A20" s="4"/>
      <c r="B20" s="4"/>
      <c r="C20" s="4"/>
      <c r="D20" s="4"/>
      <c r="E20" s="4"/>
      <c r="F20" s="4"/>
      <c r="G20" s="4"/>
      <c r="H20" s="4"/>
      <c r="I20" s="4"/>
      <c r="J20" s="4"/>
      <c r="K20" s="4"/>
      <c r="L20" s="4"/>
      <c r="M20" s="4"/>
      <c r="N20" s="4"/>
      <c r="O20" s="4"/>
      <c r="P20" s="4"/>
      <c r="Q20" s="4"/>
      <c r="R20" s="4"/>
      <c r="S20" s="4"/>
      <c r="T20" s="4"/>
      <c r="U20" s="4"/>
      <c r="V20" s="4"/>
      <c r="W20" s="4"/>
      <c r="X20" s="4"/>
      <c r="Y20" s="4"/>
      <c r="Z20" s="4"/>
      <c r="AA20" s="4"/>
    </row>
    <row r="21" spans="1:27" x14ac:dyDescent="0.25">
      <c r="A21" s="4"/>
      <c r="B21" s="4"/>
      <c r="C21" s="4"/>
      <c r="D21" s="4"/>
      <c r="E21" s="4"/>
      <c r="F21" s="4"/>
      <c r="G21" s="4"/>
      <c r="H21" s="4"/>
      <c r="I21" s="4"/>
      <c r="J21" s="4"/>
      <c r="K21" s="4"/>
      <c r="L21" s="4"/>
      <c r="M21" s="4"/>
      <c r="N21" s="4"/>
      <c r="O21" s="4"/>
      <c r="P21" s="4"/>
      <c r="Q21" s="4"/>
      <c r="R21" s="4"/>
      <c r="S21" s="4"/>
      <c r="T21" s="4"/>
      <c r="U21" s="4"/>
      <c r="V21" s="4"/>
      <c r="W21" s="4"/>
      <c r="X21" s="4"/>
      <c r="Y21" s="4"/>
      <c r="Z21" s="4"/>
      <c r="AA21" s="4"/>
    </row>
    <row r="22" spans="1:27" x14ac:dyDescent="0.25">
      <c r="A22" s="4"/>
      <c r="B22" s="4"/>
      <c r="C22" s="4"/>
      <c r="D22" s="4"/>
      <c r="E22" s="4"/>
      <c r="F22" s="4"/>
      <c r="G22" s="4"/>
      <c r="H22" s="4"/>
      <c r="I22" s="4"/>
      <c r="J22" s="4"/>
      <c r="K22" s="4"/>
      <c r="L22" s="4"/>
      <c r="M22" s="4"/>
      <c r="N22" s="4"/>
      <c r="O22" s="4"/>
      <c r="P22" s="4"/>
      <c r="Q22" s="4"/>
      <c r="R22" s="4"/>
      <c r="S22" s="4"/>
      <c r="T22" s="4"/>
      <c r="U22" s="4"/>
      <c r="V22" s="4"/>
      <c r="W22" s="4"/>
      <c r="X22" s="4"/>
      <c r="Y22" s="4"/>
      <c r="Z22" s="4"/>
      <c r="AA22" s="4"/>
    </row>
    <row r="23" spans="1:27" x14ac:dyDescent="0.25">
      <c r="A23" s="4"/>
      <c r="B23" s="4"/>
      <c r="C23" s="4"/>
      <c r="D23" s="4"/>
      <c r="E23" s="4"/>
      <c r="F23" s="4"/>
      <c r="G23" s="4"/>
      <c r="H23" s="4"/>
      <c r="I23" s="4"/>
      <c r="J23" s="4"/>
      <c r="K23" s="4"/>
      <c r="L23" s="4"/>
      <c r="M23" s="4"/>
      <c r="N23" s="4"/>
      <c r="O23" s="4"/>
      <c r="P23" s="4"/>
      <c r="Q23" s="4"/>
      <c r="R23" s="4"/>
      <c r="S23" s="4"/>
      <c r="T23" s="4"/>
      <c r="U23" s="4"/>
      <c r="V23" s="4"/>
      <c r="W23" s="4"/>
      <c r="X23" s="4"/>
      <c r="Y23" s="4"/>
      <c r="Z23" s="4"/>
      <c r="AA23" s="4"/>
    </row>
    <row r="24" spans="1:27" x14ac:dyDescent="0.25">
      <c r="A24" s="4"/>
      <c r="B24" s="4"/>
      <c r="C24" s="4"/>
      <c r="D24" s="4"/>
      <c r="E24" s="4"/>
      <c r="F24" s="4"/>
      <c r="G24" s="4"/>
      <c r="H24" s="4"/>
      <c r="I24" s="4"/>
      <c r="J24" s="4"/>
      <c r="K24" s="4"/>
      <c r="L24" s="4"/>
      <c r="M24" s="4"/>
      <c r="N24" s="4"/>
      <c r="O24" s="4"/>
      <c r="P24" s="4"/>
      <c r="Q24" s="4"/>
      <c r="R24" s="4"/>
      <c r="S24" s="4"/>
      <c r="T24" s="4"/>
      <c r="U24" s="4"/>
      <c r="V24" s="4"/>
      <c r="W24" s="4"/>
      <c r="X24" s="4"/>
      <c r="Y24" s="4"/>
      <c r="Z24" s="4"/>
      <c r="AA24" s="4"/>
    </row>
    <row r="25" spans="1:27" x14ac:dyDescent="0.25">
      <c r="A25" s="4"/>
      <c r="B25" s="4"/>
      <c r="C25" s="4"/>
      <c r="D25" s="4"/>
      <c r="E25" s="4"/>
      <c r="F25" s="4"/>
      <c r="G25" s="4"/>
      <c r="H25" s="4"/>
      <c r="I25" s="4"/>
      <c r="J25" s="4"/>
      <c r="K25" s="4"/>
      <c r="L25" s="4"/>
      <c r="M25" s="4"/>
      <c r="N25" s="4"/>
      <c r="O25" s="4"/>
      <c r="P25" s="4"/>
      <c r="Q25" s="4"/>
      <c r="R25" s="4"/>
      <c r="S25" s="4"/>
      <c r="T25" s="4"/>
      <c r="U25" s="4"/>
      <c r="V25" s="4"/>
      <c r="W25" s="4"/>
      <c r="X25" s="4"/>
      <c r="Y25" s="4"/>
      <c r="Z25" s="4"/>
      <c r="AA25" s="4"/>
    </row>
    <row r="26" spans="1:27" x14ac:dyDescent="0.25">
      <c r="A26" s="4"/>
      <c r="B26" s="4"/>
      <c r="C26" s="4"/>
      <c r="D26" s="4"/>
      <c r="E26" s="4"/>
      <c r="F26" s="4"/>
      <c r="G26" s="4"/>
      <c r="H26" s="4"/>
      <c r="I26" s="4"/>
      <c r="J26" s="4"/>
      <c r="K26" s="4"/>
      <c r="L26" s="4"/>
      <c r="M26" s="4"/>
      <c r="N26" s="4"/>
      <c r="O26" s="4"/>
      <c r="P26" s="4"/>
      <c r="Q26" s="4"/>
      <c r="R26" s="4"/>
      <c r="S26" s="4"/>
      <c r="T26" s="4"/>
      <c r="U26" s="4"/>
      <c r="V26" s="4"/>
      <c r="W26" s="4"/>
      <c r="X26" s="4"/>
      <c r="Y26" s="4"/>
      <c r="Z26" s="4"/>
      <c r="AA26" s="4"/>
    </row>
    <row r="27" spans="1:27" x14ac:dyDescent="0.25">
      <c r="A27" s="4"/>
      <c r="B27" s="4"/>
      <c r="C27" s="4"/>
      <c r="D27" s="4"/>
      <c r="E27" s="4"/>
      <c r="F27" s="4"/>
      <c r="G27" s="4"/>
      <c r="H27" s="4"/>
      <c r="I27" s="4"/>
      <c r="J27" s="4"/>
      <c r="K27" s="4"/>
      <c r="L27" s="4"/>
      <c r="M27" s="4"/>
      <c r="N27" s="4"/>
      <c r="O27" s="4"/>
      <c r="P27" s="4"/>
      <c r="Q27" s="4"/>
      <c r="R27" s="4"/>
      <c r="S27" s="4"/>
      <c r="T27" s="4"/>
      <c r="U27" s="4"/>
      <c r="V27" s="4"/>
      <c r="W27" s="4"/>
      <c r="X27" s="4"/>
      <c r="Y27" s="4"/>
      <c r="Z27" s="4"/>
      <c r="AA27" s="4"/>
    </row>
    <row r="28" spans="1:27" x14ac:dyDescent="0.25">
      <c r="A28" s="4"/>
      <c r="B28" s="4"/>
      <c r="C28" s="4"/>
      <c r="D28" s="4"/>
      <c r="E28" s="4"/>
      <c r="F28" s="4"/>
      <c r="G28" s="4"/>
      <c r="H28" s="4"/>
      <c r="I28" s="4"/>
      <c r="J28" s="4"/>
      <c r="K28" s="4"/>
      <c r="L28" s="4"/>
      <c r="M28" s="4"/>
      <c r="N28" s="4"/>
      <c r="O28" s="4"/>
      <c r="P28" s="4"/>
      <c r="Q28" s="4"/>
      <c r="R28" s="4"/>
      <c r="S28" s="4"/>
      <c r="T28" s="4"/>
      <c r="U28" s="4"/>
      <c r="V28" s="4"/>
      <c r="W28" s="4"/>
      <c r="X28" s="4"/>
      <c r="Y28" s="4"/>
      <c r="Z28" s="4"/>
      <c r="AA28" s="4"/>
    </row>
    <row r="29" spans="1:27" x14ac:dyDescent="0.25">
      <c r="A29" s="4"/>
      <c r="B29" s="4"/>
      <c r="C29" s="4"/>
      <c r="D29" s="4"/>
      <c r="E29" s="4"/>
      <c r="F29" s="4"/>
      <c r="G29" s="4"/>
      <c r="H29" s="4"/>
      <c r="I29" s="4"/>
      <c r="J29" s="4"/>
      <c r="K29" s="4"/>
      <c r="L29" s="4"/>
      <c r="M29" s="4"/>
      <c r="N29" s="4"/>
      <c r="O29" s="4"/>
      <c r="P29" s="4"/>
      <c r="Q29" s="4"/>
      <c r="R29" s="4"/>
      <c r="S29" s="4"/>
      <c r="T29" s="4"/>
      <c r="U29" s="4"/>
      <c r="V29" s="4"/>
      <c r="W29" s="4"/>
      <c r="X29" s="4"/>
      <c r="Y29" s="4"/>
      <c r="Z29" s="4"/>
      <c r="AA29" s="4"/>
    </row>
    <row r="30" spans="1:27" x14ac:dyDescent="0.25">
      <c r="A30" s="4"/>
      <c r="B30" s="4"/>
      <c r="C30" s="4"/>
      <c r="D30" s="4"/>
      <c r="E30" s="4"/>
      <c r="F30" s="4"/>
      <c r="G30" s="4"/>
      <c r="H30" s="4"/>
      <c r="I30" s="4"/>
      <c r="J30" s="4"/>
      <c r="K30" s="4"/>
      <c r="L30" s="4"/>
      <c r="M30" s="4"/>
      <c r="N30" s="4"/>
      <c r="O30" s="4"/>
      <c r="P30" s="4"/>
      <c r="Q30" s="4"/>
      <c r="R30" s="4"/>
      <c r="S30" s="4"/>
      <c r="T30" s="4"/>
      <c r="U30" s="4"/>
      <c r="V30" s="4"/>
      <c r="W30" s="4"/>
      <c r="X30" s="4"/>
      <c r="Y30" s="4"/>
      <c r="Z30" s="4"/>
      <c r="AA30" s="4"/>
    </row>
    <row r="31" spans="1:27" x14ac:dyDescent="0.25">
      <c r="A31" s="4"/>
      <c r="B31" s="4"/>
      <c r="C31" s="4"/>
      <c r="D31" s="4"/>
      <c r="E31" s="4"/>
      <c r="F31" s="4"/>
      <c r="G31" s="4"/>
      <c r="H31" s="4"/>
      <c r="I31" s="4"/>
      <c r="J31" s="4"/>
      <c r="K31" s="4"/>
      <c r="L31" s="4"/>
      <c r="M31" s="4"/>
      <c r="N31" s="4"/>
      <c r="O31" s="4"/>
      <c r="P31" s="4"/>
      <c r="Q31" s="4"/>
      <c r="R31" s="4"/>
      <c r="S31" s="4"/>
      <c r="T31" s="4"/>
      <c r="U31" s="4"/>
      <c r="V31" s="4"/>
      <c r="W31" s="4"/>
      <c r="X31" s="4"/>
      <c r="Y31" s="4"/>
      <c r="Z31" s="4"/>
      <c r="AA31" s="4"/>
    </row>
    <row r="32" spans="1:27" x14ac:dyDescent="0.25">
      <c r="A32" s="4"/>
      <c r="B32" s="4"/>
      <c r="C32" s="4"/>
      <c r="D32" s="4"/>
      <c r="E32" s="4"/>
      <c r="F32" s="4"/>
      <c r="G32" s="4"/>
      <c r="H32" s="4"/>
      <c r="I32" s="4"/>
      <c r="J32" s="4"/>
      <c r="K32" s="4"/>
      <c r="L32" s="4"/>
      <c r="M32" s="4"/>
      <c r="N32" s="4"/>
      <c r="O32" s="4"/>
      <c r="P32" s="4"/>
      <c r="Q32" s="4"/>
      <c r="R32" s="4"/>
      <c r="S32" s="4"/>
      <c r="T32" s="4"/>
      <c r="U32" s="4"/>
      <c r="V32" s="4"/>
      <c r="W32" s="4"/>
      <c r="X32" s="4"/>
      <c r="Y32" s="4"/>
      <c r="Z32" s="4"/>
      <c r="AA32" s="4"/>
    </row>
    <row r="33" spans="1:27" x14ac:dyDescent="0.25">
      <c r="A33" s="4"/>
      <c r="B33" s="4"/>
      <c r="C33" s="4"/>
      <c r="D33" s="4"/>
      <c r="E33" s="4"/>
      <c r="F33" s="4"/>
      <c r="G33" s="4"/>
      <c r="H33" s="4"/>
      <c r="I33" s="4"/>
      <c r="J33" s="4"/>
      <c r="K33" s="4"/>
      <c r="L33" s="4"/>
      <c r="M33" s="4"/>
      <c r="N33" s="4"/>
      <c r="O33" s="4"/>
      <c r="P33" s="4"/>
      <c r="Q33" s="4"/>
      <c r="R33" s="4"/>
      <c r="S33" s="4"/>
      <c r="T33" s="4"/>
      <c r="U33" s="4"/>
      <c r="V33" s="4"/>
      <c r="W33" s="4"/>
      <c r="X33" s="4"/>
      <c r="Y33" s="4"/>
      <c r="Z33" s="4"/>
      <c r="AA33" s="4"/>
    </row>
    <row r="34" spans="1:27" x14ac:dyDescent="0.25">
      <c r="A34" s="4"/>
      <c r="B34" s="4"/>
      <c r="C34" s="4"/>
      <c r="D34" s="4"/>
      <c r="E34" s="4"/>
      <c r="F34" s="4"/>
      <c r="G34" s="4"/>
      <c r="H34" s="4"/>
      <c r="I34" s="4"/>
      <c r="J34" s="4"/>
      <c r="K34" s="4"/>
      <c r="L34" s="4"/>
      <c r="M34" s="4"/>
      <c r="N34" s="4"/>
      <c r="O34" s="4"/>
      <c r="P34" s="4"/>
      <c r="Q34" s="4"/>
      <c r="R34" s="4"/>
      <c r="S34" s="4"/>
      <c r="T34" s="4"/>
      <c r="U34" s="4"/>
      <c r="V34" s="4"/>
      <c r="W34" s="4"/>
      <c r="X34" s="4"/>
      <c r="Y34" s="4"/>
      <c r="Z34" s="4"/>
      <c r="AA34" s="4"/>
    </row>
    <row r="35" spans="1:27" x14ac:dyDescent="0.25">
      <c r="A35" s="4"/>
      <c r="B35" s="4"/>
      <c r="C35" s="4"/>
      <c r="D35" s="4"/>
      <c r="E35" s="4"/>
      <c r="F35" s="4"/>
      <c r="G35" s="4"/>
      <c r="H35" s="4"/>
      <c r="I35" s="4"/>
      <c r="J35" s="4"/>
      <c r="K35" s="4"/>
      <c r="L35" s="4"/>
      <c r="M35" s="4"/>
      <c r="N35" s="4"/>
      <c r="O35" s="4"/>
      <c r="P35" s="4"/>
      <c r="Q35" s="4"/>
      <c r="R35" s="4"/>
      <c r="S35" s="4"/>
      <c r="T35" s="4"/>
      <c r="U35" s="4"/>
      <c r="V35" s="4"/>
      <c r="W35" s="4"/>
      <c r="X35" s="4"/>
      <c r="Y35" s="4"/>
      <c r="Z35" s="4"/>
      <c r="AA35" s="4"/>
    </row>
    <row r="36" spans="1:27" x14ac:dyDescent="0.25">
      <c r="A36" s="4"/>
      <c r="B36" s="4"/>
      <c r="C36" s="4"/>
      <c r="D36" s="4"/>
      <c r="E36" s="4"/>
      <c r="F36" s="4"/>
      <c r="G36" s="4"/>
      <c r="H36" s="4"/>
      <c r="I36" s="4"/>
      <c r="J36" s="4"/>
      <c r="K36" s="4"/>
      <c r="L36" s="4"/>
      <c r="M36" s="4"/>
      <c r="N36" s="4"/>
      <c r="O36" s="4"/>
      <c r="P36" s="4"/>
      <c r="Q36" s="4"/>
      <c r="R36" s="4"/>
      <c r="S36" s="4"/>
      <c r="T36" s="4"/>
      <c r="U36" s="4"/>
      <c r="V36" s="4"/>
      <c r="W36" s="4"/>
      <c r="X36" s="4"/>
      <c r="Y36" s="4"/>
      <c r="Z36" s="4"/>
      <c r="AA36" s="4"/>
    </row>
    <row r="37" spans="1:27" x14ac:dyDescent="0.25">
      <c r="A37" s="4"/>
      <c r="B37" s="4"/>
      <c r="C37" s="4"/>
      <c r="D37" s="4"/>
      <c r="E37" s="4"/>
      <c r="F37" s="4"/>
      <c r="G37" s="4"/>
      <c r="H37" s="4"/>
      <c r="I37" s="4"/>
      <c r="J37" s="4"/>
      <c r="K37" s="4"/>
      <c r="L37" s="4"/>
      <c r="M37" s="4"/>
      <c r="N37" s="4"/>
      <c r="O37" s="4"/>
      <c r="P37" s="4"/>
      <c r="Q37" s="4"/>
      <c r="R37" s="4"/>
      <c r="S37" s="4"/>
      <c r="T37" s="4"/>
      <c r="U37" s="4"/>
      <c r="V37" s="4"/>
      <c r="W37" s="4"/>
      <c r="X37" s="4"/>
      <c r="Y37" s="4"/>
      <c r="Z37" s="4"/>
      <c r="AA37" s="4"/>
    </row>
    <row r="38" spans="1:27" x14ac:dyDescent="0.25">
      <c r="A38" s="4"/>
      <c r="B38" s="4"/>
      <c r="C38" s="4"/>
      <c r="D38" s="4"/>
      <c r="E38" s="4"/>
      <c r="F38" s="4"/>
      <c r="G38" s="4"/>
      <c r="H38" s="4"/>
      <c r="I38" s="4"/>
      <c r="J38" s="4"/>
      <c r="K38" s="4"/>
      <c r="L38" s="4"/>
      <c r="M38" s="4"/>
      <c r="N38" s="4"/>
      <c r="O38" s="4"/>
      <c r="P38" s="4"/>
      <c r="Q38" s="4"/>
      <c r="R38" s="4"/>
      <c r="S38" s="4"/>
      <c r="T38" s="4"/>
      <c r="U38" s="4"/>
      <c r="V38" s="4"/>
      <c r="W38" s="4"/>
      <c r="X38" s="4"/>
      <c r="Y38" s="4"/>
      <c r="Z38" s="4"/>
      <c r="AA38" s="4"/>
    </row>
    <row r="39" spans="1:27" x14ac:dyDescent="0.25">
      <c r="A39" s="4"/>
      <c r="B39" s="4"/>
      <c r="C39" s="4"/>
      <c r="D39" s="4"/>
      <c r="E39" s="4"/>
      <c r="F39" s="4"/>
      <c r="G39" s="4"/>
      <c r="H39" s="4"/>
      <c r="I39" s="4"/>
      <c r="J39" s="4"/>
      <c r="K39" s="4"/>
      <c r="L39" s="4"/>
      <c r="M39" s="4"/>
      <c r="N39" s="4"/>
      <c r="O39" s="4"/>
      <c r="P39" s="4"/>
      <c r="Q39" s="4"/>
      <c r="R39" s="4"/>
      <c r="S39" s="4"/>
      <c r="T39" s="4"/>
      <c r="U39" s="4"/>
      <c r="V39" s="4"/>
      <c r="W39" s="4"/>
      <c r="X39" s="4"/>
      <c r="Y39" s="4"/>
      <c r="Z39" s="4"/>
      <c r="AA39" s="4"/>
    </row>
    <row r="40" spans="1:27" x14ac:dyDescent="0.25">
      <c r="A40" s="4"/>
      <c r="B40" s="4"/>
      <c r="C40" s="4"/>
      <c r="D40" s="4"/>
      <c r="E40" s="4"/>
      <c r="F40" s="4"/>
      <c r="G40" s="4"/>
      <c r="H40" s="4"/>
      <c r="I40" s="4"/>
      <c r="J40" s="4"/>
      <c r="K40" s="4"/>
      <c r="L40" s="4"/>
      <c r="M40" s="4"/>
      <c r="N40" s="4"/>
      <c r="O40" s="4"/>
      <c r="P40" s="4"/>
      <c r="Q40" s="4"/>
      <c r="R40" s="4"/>
      <c r="S40" s="4"/>
      <c r="T40" s="4"/>
      <c r="U40" s="4"/>
      <c r="V40" s="4"/>
      <c r="W40" s="4"/>
      <c r="X40" s="4"/>
      <c r="Y40" s="4"/>
      <c r="Z40" s="4"/>
      <c r="AA40" s="4"/>
    </row>
    <row r="41" spans="1:27" x14ac:dyDescent="0.25">
      <c r="A41" s="4"/>
      <c r="B41" s="4"/>
      <c r="C41" s="4"/>
      <c r="D41" s="4"/>
      <c r="E41" s="4"/>
      <c r="F41" s="4"/>
      <c r="G41" s="4"/>
      <c r="H41" s="4"/>
      <c r="I41" s="4"/>
      <c r="J41" s="4"/>
      <c r="K41" s="4"/>
      <c r="L41" s="4"/>
      <c r="M41" s="4"/>
      <c r="N41" s="4"/>
      <c r="O41" s="4"/>
      <c r="P41" s="4"/>
      <c r="Q41" s="4"/>
      <c r="R41" s="4"/>
      <c r="S41" s="4"/>
      <c r="T41" s="4"/>
      <c r="U41" s="4"/>
      <c r="V41" s="4"/>
      <c r="W41" s="4"/>
      <c r="X41" s="4"/>
      <c r="Y41" s="4"/>
      <c r="Z41" s="4"/>
      <c r="AA41" s="4"/>
    </row>
    <row r="42" spans="1:27" x14ac:dyDescent="0.25">
      <c r="A42" s="4"/>
      <c r="B42" s="4"/>
      <c r="C42" s="4"/>
      <c r="D42" s="4"/>
      <c r="E42" s="4"/>
      <c r="F42" s="4"/>
      <c r="G42" s="4"/>
      <c r="H42" s="4"/>
      <c r="I42" s="4"/>
      <c r="J42" s="4"/>
      <c r="K42" s="4"/>
      <c r="L42" s="4"/>
      <c r="M42" s="4"/>
      <c r="N42" s="4"/>
      <c r="O42" s="4"/>
      <c r="P42" s="4"/>
      <c r="Q42" s="4"/>
      <c r="R42" s="4"/>
      <c r="S42" s="4"/>
      <c r="T42" s="4"/>
      <c r="U42" s="4"/>
      <c r="V42" s="4"/>
      <c r="W42" s="4"/>
      <c r="X42" s="4"/>
      <c r="Y42" s="4"/>
      <c r="Z42" s="4"/>
      <c r="AA42" s="4"/>
    </row>
    <row r="43" spans="1:27" x14ac:dyDescent="0.25">
      <c r="A43" s="4"/>
      <c r="B43" s="4"/>
      <c r="C43" s="4"/>
      <c r="D43" s="4"/>
      <c r="E43" s="4"/>
      <c r="F43" s="4"/>
      <c r="G43" s="4"/>
      <c r="H43" s="4"/>
      <c r="I43" s="4"/>
      <c r="J43" s="4"/>
      <c r="K43" s="4"/>
      <c r="L43" s="4"/>
      <c r="M43" s="4"/>
      <c r="N43" s="4"/>
      <c r="O43" s="4"/>
      <c r="P43" s="4"/>
      <c r="Q43" s="4"/>
      <c r="R43" s="4"/>
      <c r="S43" s="4"/>
      <c r="T43" s="4"/>
      <c r="U43" s="4"/>
      <c r="V43" s="4"/>
      <c r="W43" s="4"/>
      <c r="X43" s="4"/>
      <c r="Y43" s="4"/>
      <c r="Z43" s="4"/>
      <c r="AA43" s="4"/>
    </row>
    <row r="44" spans="1:27" x14ac:dyDescent="0.25">
      <c r="A44" s="4"/>
      <c r="B44" s="4"/>
      <c r="C44" s="4"/>
      <c r="D44" s="4"/>
      <c r="E44" s="4"/>
      <c r="F44" s="4"/>
      <c r="G44" s="4"/>
      <c r="H44" s="4"/>
      <c r="I44" s="4"/>
      <c r="J44" s="4"/>
      <c r="K44" s="4"/>
      <c r="L44" s="4"/>
      <c r="M44" s="4"/>
      <c r="N44" s="4"/>
      <c r="O44" s="4"/>
      <c r="P44" s="4"/>
      <c r="Q44" s="4"/>
      <c r="R44" s="4"/>
      <c r="S44" s="4"/>
      <c r="T44" s="4"/>
      <c r="U44" s="4"/>
      <c r="V44" s="4"/>
      <c r="W44" s="4"/>
      <c r="X44" s="4"/>
      <c r="Y44" s="4"/>
      <c r="Z44" s="4"/>
      <c r="AA44" s="4"/>
    </row>
    <row r="45" spans="1:27" x14ac:dyDescent="0.25">
      <c r="A45" s="4"/>
      <c r="B45" s="4"/>
      <c r="C45" s="4"/>
      <c r="D45" s="4"/>
      <c r="E45" s="4"/>
      <c r="F45" s="4"/>
      <c r="G45" s="4"/>
      <c r="H45" s="4"/>
      <c r="I45" s="4"/>
      <c r="J45" s="4"/>
      <c r="K45" s="4"/>
      <c r="L45" s="4"/>
      <c r="M45" s="4"/>
      <c r="N45" s="4"/>
      <c r="O45" s="4"/>
      <c r="P45" s="4"/>
      <c r="Q45" s="4"/>
      <c r="R45" s="4"/>
      <c r="S45" s="4"/>
      <c r="T45" s="4"/>
      <c r="U45" s="4"/>
      <c r="V45" s="4"/>
      <c r="W45" s="4"/>
      <c r="X45" s="4"/>
      <c r="Y45" s="4"/>
      <c r="Z45" s="4"/>
      <c r="AA45" s="4"/>
    </row>
    <row r="46" spans="1:27" x14ac:dyDescent="0.25">
      <c r="A46" s="4"/>
      <c r="B46" s="4"/>
      <c r="C46" s="4"/>
      <c r="D46" s="4"/>
      <c r="E46" s="4"/>
      <c r="F46" s="4"/>
      <c r="G46" s="4"/>
      <c r="H46" s="4"/>
      <c r="I46" s="4"/>
      <c r="J46" s="4"/>
      <c r="K46" s="4"/>
      <c r="L46" s="4"/>
      <c r="M46" s="4"/>
      <c r="N46" s="4"/>
      <c r="O46" s="4"/>
      <c r="P46" s="4"/>
      <c r="Q46" s="4"/>
      <c r="R46" s="4"/>
      <c r="S46" s="4"/>
      <c r="T46" s="4"/>
      <c r="U46" s="4"/>
      <c r="V46" s="4"/>
      <c r="W46" s="4"/>
      <c r="X46" s="4"/>
      <c r="Y46" s="4"/>
      <c r="Z46" s="4"/>
      <c r="AA46" s="4"/>
    </row>
    <row r="47" spans="1:27" x14ac:dyDescent="0.25">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spans="1:27" x14ac:dyDescent="0.25">
      <c r="A48" s="4"/>
      <c r="B48" s="4"/>
      <c r="C48" s="4"/>
      <c r="D48" s="4"/>
      <c r="E48" s="4"/>
      <c r="F48" s="4"/>
      <c r="G48" s="4"/>
      <c r="H48" s="4"/>
      <c r="I48" s="4"/>
      <c r="J48" s="4"/>
      <c r="K48" s="4"/>
      <c r="L48" s="4"/>
      <c r="M48" s="4"/>
      <c r="N48" s="4"/>
      <c r="O48" s="4"/>
      <c r="P48" s="4"/>
      <c r="Q48" s="4"/>
      <c r="R48" s="4"/>
      <c r="S48" s="4"/>
      <c r="T48" s="4"/>
      <c r="U48" s="4"/>
      <c r="V48" s="4"/>
      <c r="W48" s="4"/>
      <c r="X48" s="4"/>
      <c r="Y48" s="4"/>
      <c r="Z48" s="4"/>
      <c r="AA48" s="4"/>
    </row>
    <row r="49" spans="1:27" x14ac:dyDescent="0.25">
      <c r="A49" s="4"/>
      <c r="B49" s="4"/>
      <c r="C49" s="4"/>
      <c r="D49" s="4"/>
      <c r="E49" s="4"/>
      <c r="F49" s="4"/>
      <c r="G49" s="4"/>
      <c r="H49" s="4"/>
      <c r="I49" s="4"/>
      <c r="J49" s="4"/>
      <c r="K49" s="4"/>
      <c r="L49" s="4"/>
      <c r="M49" s="4"/>
      <c r="N49" s="4"/>
      <c r="O49" s="4"/>
      <c r="P49" s="4"/>
      <c r="Q49" s="4"/>
      <c r="R49" s="4"/>
      <c r="S49" s="4"/>
      <c r="T49" s="4"/>
      <c r="U49" s="4"/>
      <c r="V49" s="4"/>
      <c r="W49" s="4"/>
      <c r="X49" s="4"/>
      <c r="Y49" s="4"/>
      <c r="Z49" s="4"/>
      <c r="AA49" s="4"/>
    </row>
    <row r="50" spans="1:27" x14ac:dyDescent="0.25">
      <c r="A50" s="4"/>
      <c r="B50" s="4"/>
      <c r="C50" s="4"/>
      <c r="D50" s="4"/>
      <c r="E50" s="4"/>
      <c r="F50" s="4"/>
      <c r="G50" s="4"/>
      <c r="H50" s="4"/>
      <c r="I50" s="4"/>
      <c r="J50" s="4"/>
      <c r="K50" s="4"/>
      <c r="L50" s="4"/>
      <c r="M50" s="4"/>
      <c r="N50" s="4"/>
      <c r="O50" s="4"/>
      <c r="P50" s="4"/>
      <c r="Q50" s="4"/>
      <c r="R50" s="4"/>
      <c r="S50" s="4"/>
      <c r="T50" s="4"/>
      <c r="U50" s="4"/>
      <c r="V50" s="4"/>
      <c r="W50" s="4"/>
      <c r="X50" s="4"/>
      <c r="Y50" s="4"/>
      <c r="Z50" s="4"/>
      <c r="AA50" s="4"/>
    </row>
    <row r="51" spans="1:27" x14ac:dyDescent="0.25">
      <c r="A51" s="4"/>
      <c r="B51" s="4"/>
      <c r="C51" s="4"/>
      <c r="D51" s="4"/>
      <c r="E51" s="4"/>
      <c r="F51" s="4"/>
      <c r="G51" s="4"/>
      <c r="H51" s="4"/>
      <c r="I51" s="4"/>
      <c r="J51" s="4"/>
      <c r="K51" s="4"/>
      <c r="L51" s="4"/>
      <c r="M51" s="4"/>
      <c r="N51" s="4"/>
      <c r="O51" s="4"/>
      <c r="P51" s="4"/>
      <c r="Q51" s="4"/>
      <c r="R51" s="4"/>
      <c r="S51" s="4"/>
      <c r="T51" s="4"/>
      <c r="U51" s="4"/>
      <c r="V51" s="4"/>
      <c r="W51" s="4"/>
      <c r="X51" s="4"/>
      <c r="Y51" s="4"/>
      <c r="Z51" s="4"/>
      <c r="AA51" s="4"/>
    </row>
    <row r="52" spans="1:27" x14ac:dyDescent="0.25">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spans="1:27" x14ac:dyDescent="0.25">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spans="1:27" x14ac:dyDescent="0.25">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spans="1:27" x14ac:dyDescent="0.25">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spans="1:27" x14ac:dyDescent="0.25">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spans="1:27" x14ac:dyDescent="0.25">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spans="1:27" x14ac:dyDescent="0.25">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spans="1:27" x14ac:dyDescent="0.25">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spans="1:27" x14ac:dyDescent="0.25">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spans="1:27" x14ac:dyDescent="0.25">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spans="1:27" x14ac:dyDescent="0.25">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spans="1:27" x14ac:dyDescent="0.25">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spans="1:27" x14ac:dyDescent="0.25">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spans="1:27" x14ac:dyDescent="0.25">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spans="1:27" x14ac:dyDescent="0.25">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spans="1:27" x14ac:dyDescent="0.25">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spans="1:27" x14ac:dyDescent="0.25">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spans="1:27" x14ac:dyDescent="0.25">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spans="1:27" x14ac:dyDescent="0.25">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spans="1:27" x14ac:dyDescent="0.25">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spans="1:27" x14ac:dyDescent="0.25">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spans="1:27" x14ac:dyDescent="0.25">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spans="1:27" x14ac:dyDescent="0.25">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spans="1:27" x14ac:dyDescent="0.25">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spans="1:27" x14ac:dyDescent="0.25">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spans="1:27" x14ac:dyDescent="0.25">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spans="1:27" x14ac:dyDescent="0.25">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spans="1:27" x14ac:dyDescent="0.25">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spans="1:27" x14ac:dyDescent="0.25">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spans="1:27" x14ac:dyDescent="0.25">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spans="1:27" x14ac:dyDescent="0.25">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spans="1:27" x14ac:dyDescent="0.25">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spans="1:27" x14ac:dyDescent="0.25">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spans="1:27" x14ac:dyDescent="0.25">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spans="1:27" x14ac:dyDescent="0.25">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spans="1:27" x14ac:dyDescent="0.25">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spans="1:27" x14ac:dyDescent="0.25">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spans="1:27" x14ac:dyDescent="0.25">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spans="1:27" x14ac:dyDescent="0.25">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spans="1:27" x14ac:dyDescent="0.25">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spans="1:27" x14ac:dyDescent="0.25">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spans="1:27" x14ac:dyDescent="0.25">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spans="1:27" x14ac:dyDescent="0.25">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spans="1:27" x14ac:dyDescent="0.25">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spans="1:27" x14ac:dyDescent="0.25">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spans="1:27" x14ac:dyDescent="0.25">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spans="1:27" x14ac:dyDescent="0.25">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spans="1:27" x14ac:dyDescent="0.25">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spans="1:27"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spans="1:27"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spans="1:27"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spans="1:27"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spans="1:27"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spans="1:27"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spans="1:27"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spans="1:27"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spans="1:27"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spans="1:27"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spans="1:27"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spans="1:27"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spans="1:27"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spans="1:27"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spans="1:27"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spans="1:27"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spans="1:27"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spans="1:27"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spans="1:27"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spans="1:27"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spans="1:27"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spans="1:27"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spans="1:27"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spans="1:27"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spans="1:27"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spans="1:27"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spans="1:27"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spans="1:27"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spans="1:27"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spans="1:27"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spans="1:27"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spans="1:27"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spans="1:27"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spans="1:27"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spans="1:27"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spans="1:27"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spans="1:27"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spans="1:27"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spans="1:27"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spans="1:27"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spans="1:27"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spans="1:27"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spans="1:27"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spans="1:27"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spans="1:27"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spans="1:27"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spans="1:27"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spans="1:27"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spans="1:27"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spans="1:27"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spans="1:27"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spans="1:27"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spans="1:27"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spans="1:27"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spans="1:27"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spans="1:27"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spans="1:27"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spans="1:27"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spans="1:27"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spans="1:27"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spans="1:27"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spans="1:27"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spans="1:27"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spans="1:27"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spans="1:27"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spans="1:27"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spans="1:27"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spans="1:27"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spans="1:27"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spans="1:27"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spans="1:27"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spans="1:27"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spans="1:27"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spans="1:27"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spans="1:27"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spans="1:27"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spans="1:27"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spans="1:27"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spans="1:27"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spans="1:27"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spans="1:27"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spans="1:27"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spans="1:27"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spans="1:27"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spans="1:27"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spans="1:27"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spans="1:27"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spans="1:27"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spans="1:27"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spans="1:27"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spans="1:27"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spans="1:27"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spans="1:27"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spans="1:27"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spans="1:27"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spans="1:27"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spans="1:27"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spans="1:27"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spans="1:27"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spans="1:27"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spans="1:27"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spans="1:27"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spans="1:27"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spans="1:27"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spans="1:27"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spans="1:27"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spans="1:27"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spans="1:27"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spans="1:27"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spans="1:27"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spans="1:27"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spans="1:27"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spans="1:27"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spans="1:27"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spans="1:27"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spans="1:27"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spans="1:27"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spans="1:27"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spans="1:27"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spans="1:27"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spans="1:27"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spans="1:27"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spans="1:27"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spans="1:27"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spans="1:27"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spans="1:27"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spans="1:27"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spans="1:27"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spans="1:27"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spans="1:27"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spans="1:27"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spans="1:27"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spans="1:27"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spans="1:27"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spans="1:27"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spans="1:27"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spans="1:27"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spans="1:27"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spans="1:27"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spans="1:27"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spans="1:27"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spans="1:27"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spans="1:27"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spans="1:27"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spans="1:27"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spans="1:27"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spans="1:27"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spans="1:27"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spans="1:27"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spans="1:27"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spans="1:27"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spans="1:27"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spans="1:27"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spans="1:27"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spans="1:27"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spans="1:27"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spans="1:27"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spans="1:27"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spans="1:27"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spans="1:27"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spans="1:27"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spans="1:27"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spans="1:27"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spans="1:27"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spans="1:27"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spans="1:27"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spans="1:27"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spans="1:27"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spans="1:27"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spans="1:27"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spans="1:27"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spans="1:27"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spans="1:27"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spans="1:27"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spans="1:27"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spans="1:27"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spans="1:27"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spans="1:27"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spans="1:27"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spans="1:27"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spans="1:27"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spans="1:27"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spans="1:27"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spans="1:27"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spans="1:27"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spans="1:27"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spans="1:27"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spans="1:27"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spans="1:27"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spans="1:27"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spans="1:27"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spans="1:27"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spans="1:27"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spans="1:27"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spans="1:27"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spans="1:27"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spans="1:27"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spans="1:27"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spans="1:27"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spans="1:27"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spans="1:27"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spans="1:27"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spans="1:27"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spans="1:27"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spans="1:27"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spans="1:27"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spans="1:27"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spans="1:27"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spans="1:27"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spans="1:27"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spans="1:27"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spans="1:27"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spans="1:27"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spans="1:27"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spans="1:27"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spans="1:27"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spans="1:27"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spans="1:27"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spans="1:27"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spans="1:27"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spans="1:27"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spans="1:27"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spans="1:27"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spans="1:27"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spans="1:27"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spans="1:27"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spans="1:27"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spans="1:27"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spans="1:27"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spans="1:27"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spans="1:27"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spans="1:27"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spans="1:27"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spans="1:27"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spans="1:27"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spans="1:27"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spans="1:27"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spans="1:27"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spans="1:27"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spans="1:27"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spans="1:27"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spans="1:27"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spans="1:27"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spans="1:27"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spans="1:27"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spans="1:27"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spans="1:27"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spans="1:27"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spans="1:27"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spans="1:27"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spans="1:27"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spans="1:27"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spans="1:27"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spans="1:27"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spans="1:27"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spans="1:27"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spans="1:27"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spans="1:27"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spans="1:27"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spans="1:27"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spans="1:27"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spans="1:27"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spans="1:27"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spans="1:27"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spans="1:27"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spans="1:27"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spans="1:27"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spans="1:27"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spans="1:27"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spans="1:27"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spans="1:27"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spans="1:27"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spans="1:27"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spans="1:27"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spans="1:27"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spans="1:27"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spans="1:27"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spans="1:27"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spans="1:27"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spans="1:27"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spans="1:27"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spans="1:27"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spans="1:27"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spans="1:27"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spans="1:27"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spans="1:27"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spans="1:27"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spans="1:27"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spans="1:27"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spans="1:27"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spans="1:27"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spans="1:27"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spans="1:27"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spans="1:27"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spans="1:27"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spans="1:27"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spans="1:27"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spans="1:27"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spans="1:27"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spans="1:27"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spans="1:27"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spans="1:27"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spans="1:27"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spans="1:27"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spans="1:27"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spans="1:27"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spans="1:27"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spans="1:27"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spans="1:27"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spans="1:27"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spans="1:27"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spans="1:27"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spans="1:27"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spans="1:27"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spans="1:27"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spans="1:27"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spans="1:27"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spans="1:27"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spans="1:27"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spans="1:27"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spans="1:27"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spans="1:27"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spans="1:27"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spans="1:27"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spans="1:27"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spans="1:27"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spans="1:27"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spans="1:27"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spans="1:27"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spans="1:27"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spans="1:27"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spans="1:27"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spans="1:27"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spans="1:27"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spans="1:27"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spans="1:27"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spans="1:27"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spans="1:27"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spans="1:27"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spans="1:27"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spans="1:27"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spans="1:27"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spans="1:27"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spans="1:27"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spans="1:27"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spans="1:27"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spans="1:27"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spans="1:27"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spans="1:27"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spans="1:27"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spans="1:27"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spans="1:27"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spans="1:27"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spans="1:27"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spans="1:27"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spans="1:27"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spans="1:27"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spans="1:27"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spans="1:27"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spans="1:27"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spans="1:27"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spans="1:27"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spans="1:27"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spans="1:27"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spans="1:27"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spans="1:27"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spans="1:27"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spans="1:27"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spans="1:27"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spans="1:27"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spans="1:27"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spans="1:27"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spans="1:27"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spans="1:27"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spans="1:27"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spans="1:27"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spans="1:27"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spans="1:27"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spans="1:27"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spans="1:27"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spans="1:27"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spans="1:27"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spans="1:27"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spans="1:27"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spans="1:27"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spans="1:27"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spans="1:27"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spans="1:27"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spans="1:27"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spans="1:27"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spans="1:27"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spans="1:27"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spans="1:27"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spans="1:27"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spans="1:27"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spans="1:27"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spans="1:27"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spans="1:27"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spans="1:27"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spans="1:27"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spans="1:27"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spans="1:27"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spans="1:27"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spans="1:27"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spans="1:27"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spans="1:27"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spans="1:27"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spans="1:27"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spans="1:27"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spans="1:27"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spans="1:27"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spans="1:27"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spans="1:27"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spans="1:27"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spans="1:27"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spans="1:27"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spans="1:27"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spans="1:27"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spans="1:27"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spans="1:27"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spans="1:27"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spans="1:27"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spans="1:27"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spans="1:27"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spans="1:27"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spans="1:27"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spans="1:27"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spans="1:27"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spans="1:27"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spans="1:27"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spans="1:27"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spans="1:27"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spans="1:27"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spans="1:27"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spans="1:27"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spans="1:27"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spans="1:27"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spans="1:27"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spans="1:27"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spans="1:27"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spans="1:27"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spans="1:27"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spans="1:27"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spans="1:27"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spans="1:27"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spans="1:27"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spans="1:27"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spans="1:27"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spans="1:27"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spans="1:27"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spans="1:27"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spans="1:27"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spans="1:27"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spans="1:27"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spans="1:27"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spans="1:27"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spans="1:27"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spans="1:27"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spans="1:27"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spans="1:27"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spans="1:27"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spans="1:27"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spans="1:27"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spans="1:27"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spans="1:27"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spans="1:27"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spans="1:27"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spans="1:27"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spans="1:27"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spans="1:27"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spans="1:27"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spans="1:27"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spans="1:27"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spans="1:27"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spans="1:27"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spans="1:27"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spans="1:27"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spans="1:27"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spans="1:27"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spans="1:27"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spans="1:27"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spans="1:27"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spans="1:27"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spans="1:27"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spans="1:27"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spans="1:27"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spans="1:27"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spans="1:27"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spans="1:27"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spans="1:27"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spans="1:27"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spans="1:27"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spans="1:27"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spans="1:27"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spans="1:27"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spans="1:27"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spans="1:27"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spans="1:27"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spans="1:27"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spans="1:27"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spans="1:27"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spans="1:27"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spans="1:27"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spans="1:27"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spans="1:27"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spans="1:27"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spans="1:27"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spans="1:27"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spans="1:27"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spans="1:27"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spans="1:27"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spans="1:27"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spans="1:27"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spans="1:27"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spans="1:27"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spans="1:27"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spans="1:27"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spans="1:27"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spans="1:27"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spans="1:27"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spans="1:27"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spans="1:27"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spans="1:27"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spans="1:27"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spans="1:27"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spans="1:27"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spans="1:27"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spans="1:27"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spans="1:27"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spans="1:27"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spans="1:27"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spans="1:27"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spans="1:27"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spans="1:27"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spans="1:27"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spans="1:27"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spans="1:27"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spans="1:27"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spans="1:27"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spans="1:27"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spans="1:27"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spans="1:27"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spans="1:27"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spans="1:27"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spans="1:27"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spans="1:27"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spans="1:27"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spans="1:27"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spans="1:27"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spans="1:27"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spans="1:27"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spans="1:27"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spans="1:27"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spans="1:27"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spans="1:27"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spans="1:27"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spans="1:27"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spans="1:27"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spans="1:27"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spans="1:27"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spans="1:27"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spans="1:27"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spans="1:27"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spans="1:27"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spans="1:27"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spans="1:27"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spans="1:27"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spans="1:27"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spans="1:27"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spans="1:27"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spans="1:27"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spans="1:27"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spans="1:27"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spans="1:27"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spans="1:27"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spans="1:27"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spans="1:27"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spans="1:27"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spans="1:27"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spans="1:27"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spans="1:27"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spans="1:27"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spans="1:27"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spans="1:27"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spans="1:27"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spans="1:27"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spans="1:27"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spans="1:27"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spans="1:27"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spans="1:27"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spans="1:27"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spans="1:27"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spans="1:27"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spans="1:27"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spans="1:27"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spans="1:27"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spans="1:27"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spans="1:27"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spans="1:27"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spans="1:27"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spans="1:27"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spans="1:27"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spans="1:27"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spans="1:27"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spans="1:27"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spans="1:27"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spans="1:27"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spans="1:27"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spans="1:27"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spans="1:27"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spans="1:27"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spans="1:27"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spans="1:27"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spans="1:27"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spans="1:27"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spans="1:27"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spans="1:27"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spans="1:27"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spans="1:27"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spans="1:27"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spans="1:27"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spans="1:27"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spans="1:27"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spans="1:27"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spans="1:27"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spans="1:27"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spans="1:27"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spans="1:27"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spans="1:27"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spans="1:27"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spans="1:27"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spans="1:27"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spans="1:27"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spans="1:27"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spans="1:27"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spans="1:27"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spans="1:27"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spans="1:27"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spans="1:27"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spans="1:27"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spans="1:27"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spans="1:27"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spans="1:27"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spans="1:27"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spans="1:27"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spans="1:27"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spans="1:27"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spans="1:27"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spans="1:27"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spans="1:27"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spans="1:27"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spans="1:27"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spans="1:27"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spans="1:27"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spans="1:27"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spans="1:27"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spans="1:27"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spans="1:27"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spans="1:27"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spans="1:27"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spans="1:27"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spans="1:27"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spans="1:27"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spans="1:27"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spans="1:27"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spans="1:27"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spans="1:27"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spans="1:27"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spans="1:27"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spans="1:27"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spans="1:27"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spans="1:27"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spans="1:27"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spans="1:27"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spans="1:27"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spans="1:27"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spans="1:27"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spans="1:27"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spans="1:27"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spans="1:27"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spans="1:27"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spans="1:27"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spans="1:27"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spans="1:27"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spans="1:27"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spans="1:27"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spans="1:27"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spans="1:27"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spans="1:27"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spans="1:27"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spans="1:27"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spans="1:27"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spans="1:27"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spans="1:27"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spans="1:27"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spans="1:27"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spans="1:27"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spans="1:27"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spans="1:27"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spans="1:27"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spans="1:27"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spans="1:27"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spans="1:27"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spans="1:27"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spans="1:27"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spans="1:27"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spans="1:27"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spans="1:27"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spans="1:27"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spans="1:27"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spans="1:27"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spans="1:27"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spans="1:27"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spans="1:27"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spans="1:27"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spans="1:27"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spans="1:27"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spans="1:27"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spans="1:27"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spans="1:27"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spans="1:27"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spans="1:27"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spans="1:27"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spans="1:27"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spans="1:27"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spans="1:27"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spans="1:27"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spans="1:27"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spans="1:27"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spans="1:27"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spans="1:27"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spans="1:27"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spans="1:27"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spans="1:27"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spans="1:27"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spans="1:27"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spans="1:27"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spans="1:27"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spans="1:27"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spans="1:27"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spans="1:27"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spans="1:27"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spans="1:27"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spans="1:27"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spans="1:27"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spans="1:27"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spans="1:27"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spans="1:27"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spans="1:27"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spans="1:27"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spans="1:27"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spans="1:27"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spans="1:27"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spans="1:27"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spans="1:27"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spans="1:27"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spans="1:27"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spans="1:27"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spans="1:27"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spans="1:27"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spans="1:27"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spans="1:27"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spans="1:27"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spans="1:27"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spans="1:27"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spans="1:27"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spans="1:27"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spans="1:27"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spans="1:27"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spans="1:27"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spans="1:27"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spans="1:27"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spans="1:27"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spans="1:27"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spans="1:27"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spans="1:27"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spans="1:27"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spans="1:27"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spans="1:27"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spans="1:27"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spans="1:27"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spans="1:27"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spans="1:27"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spans="1:27"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spans="1:27"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spans="1:27"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spans="1:27"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spans="1:27"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spans="1:27"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spans="1:27"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spans="1:27"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spans="1:27"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spans="1:27"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spans="1:27"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spans="1:27"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spans="1:27"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spans="1:27"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spans="1:27"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spans="1:27"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spans="1:27"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spans="1:27"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spans="1:27"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spans="1:27"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spans="1:27"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spans="1:27"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spans="1:27"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spans="1:27"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spans="1:27"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spans="1:27"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spans="1:27"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spans="1:27"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spans="1:27"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spans="1:27"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spans="1:27"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spans="1:27"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spans="1:27"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spans="1:27"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spans="1:27"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spans="1:27"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spans="1:27"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spans="1:27"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spans="1:27"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spans="1:27"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spans="1:27"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spans="1:27"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spans="1:27"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spans="1:27"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spans="1:27"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spans="1:27"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spans="1:27"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spans="1:27"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spans="1:27"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spans="1:27"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spans="1:27"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spans="1:27"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spans="1:27"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spans="1:27"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spans="1:27"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spans="1:27"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spans="1:27"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spans="1:27"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spans="1:27"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spans="1:27"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spans="1:27"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spans="1:27"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spans="1:27"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spans="1:27"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spans="1:27"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spans="1:27"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spans="1:27"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spans="1:27"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spans="1:27"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spans="1:27"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spans="1:27"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spans="1:27"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spans="1:27"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spans="1:27"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spans="1:27"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spans="1:27"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spans="1:27"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spans="1:27"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spans="1:27"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spans="1:27"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spans="1:27"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spans="1:27"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spans="1:27"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spans="1:27"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spans="1:27"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spans="1:27"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spans="1:27"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spans="1:27"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spans="1:27"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spans="1:27"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spans="1:27"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spans="1:27"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spans="1:27"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spans="1:27"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spans="1:27"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spans="1:27"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spans="1:27"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spans="1:27"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spans="1:27"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spans="1:27"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spans="1:27"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spans="1:27"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spans="1:27"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spans="1:27"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spans="1:27"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spans="1:27"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spans="1:27"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spans="1:27"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spans="1:27"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spans="1:27"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spans="1:27"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spans="1:27"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spans="1:27"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spans="1:27"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spans="1:27"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spans="1:27"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spans="1:27"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spans="1:27"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sheetData>
  <mergeCells count="1">
    <mergeCell ref="K1:R1"/>
  </mergeCells>
  <conditionalFormatting sqref="C2:C13">
    <cfRule type="cellIs" dxfId="2" priority="1" operator="greaterThan">
      <formula>E2</formula>
    </cfRule>
    <cfRule type="cellIs" dxfId="1" priority="2" operator="lessThan">
      <formula>F2</formula>
    </cfRule>
  </conditionalFormatting>
  <conditionalFormatting sqref="G3:G13">
    <cfRule type="cellIs" dxfId="0" priority="3" operator="greaterThan">
      <formula>I2</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P1000"/>
  <sheetViews>
    <sheetView showGridLines="0" workbookViewId="0">
      <selection activeCell="I1" sqref="I1:P1"/>
    </sheetView>
  </sheetViews>
  <sheetFormatPr defaultColWidth="12.6640625" defaultRowHeight="15.75" customHeight="1" x14ac:dyDescent="0.25"/>
  <cols>
    <col min="3" max="3" width="4.44140625" customWidth="1"/>
    <col min="4" max="4" width="5.21875" customWidth="1"/>
    <col min="5" max="6" width="4.21875" customWidth="1"/>
    <col min="7" max="7" width="5.21875" customWidth="1"/>
    <col min="8" max="8" width="3.21875" customWidth="1"/>
  </cols>
  <sheetData>
    <row r="1" spans="1:16" ht="24.6" x14ac:dyDescent="0.55000000000000004">
      <c r="A1" s="1" t="s">
        <v>1</v>
      </c>
      <c r="B1" s="2" t="s">
        <v>2</v>
      </c>
      <c r="C1" s="3" t="s">
        <v>3</v>
      </c>
      <c r="D1" s="3" t="s">
        <v>4</v>
      </c>
      <c r="E1" s="3" t="s">
        <v>5</v>
      </c>
      <c r="F1" s="3" t="s">
        <v>6</v>
      </c>
      <c r="G1" s="10" t="s">
        <v>19</v>
      </c>
      <c r="I1" s="45" t="s">
        <v>29</v>
      </c>
      <c r="J1" s="46"/>
      <c r="K1" s="46"/>
      <c r="L1" s="46"/>
      <c r="M1" s="46"/>
      <c r="N1" s="46"/>
      <c r="O1" s="46"/>
      <c r="P1" s="46"/>
    </row>
    <row r="2" spans="1:16" x14ac:dyDescent="0.25">
      <c r="A2" s="5" t="s">
        <v>10</v>
      </c>
      <c r="B2" s="4" t="str">
        <f t="shared" ref="B2:B13" si="0">LEFT(A2,3)</f>
        <v>Jan</v>
      </c>
      <c r="C2" s="6">
        <v>3.7</v>
      </c>
      <c r="D2" s="7">
        <f>AVERAGE(C2:C13)</f>
        <v>4.0333333333333341</v>
      </c>
      <c r="E2" s="7">
        <f>D2+(3*G2)</f>
        <v>4.500432699830248</v>
      </c>
      <c r="F2" s="7">
        <f>D2-(3*G2)</f>
        <v>3.5662339668364202</v>
      </c>
      <c r="G2" s="11">
        <f>STDEVA(C2:C13)</f>
        <v>0.15569978883230459</v>
      </c>
    </row>
    <row r="3" spans="1:16" x14ac:dyDescent="0.25">
      <c r="A3" s="5" t="s">
        <v>11</v>
      </c>
      <c r="B3" s="4" t="str">
        <f t="shared" si="0"/>
        <v>Feb</v>
      </c>
      <c r="C3" s="6">
        <v>3.9</v>
      </c>
      <c r="D3" s="7">
        <f t="shared" ref="D3:G3" si="1">D2</f>
        <v>4.0333333333333341</v>
      </c>
      <c r="E3" s="7">
        <f t="shared" si="1"/>
        <v>4.500432699830248</v>
      </c>
      <c r="F3" s="7">
        <f t="shared" si="1"/>
        <v>3.5662339668364202</v>
      </c>
      <c r="G3" s="11">
        <f t="shared" si="1"/>
        <v>0.15569978883230459</v>
      </c>
    </row>
    <row r="4" spans="1:16" x14ac:dyDescent="0.25">
      <c r="A4" s="5" t="s">
        <v>12</v>
      </c>
      <c r="B4" s="4" t="str">
        <f t="shared" si="0"/>
        <v>Mar</v>
      </c>
      <c r="C4" s="6">
        <v>3.9</v>
      </c>
      <c r="D4" s="7">
        <f t="shared" ref="D4:G4" si="2">D3</f>
        <v>4.0333333333333341</v>
      </c>
      <c r="E4" s="7">
        <f t="shared" si="2"/>
        <v>4.500432699830248</v>
      </c>
      <c r="F4" s="7">
        <f t="shared" si="2"/>
        <v>3.5662339668364202</v>
      </c>
      <c r="G4" s="11">
        <f t="shared" si="2"/>
        <v>0.15569978883230459</v>
      </c>
    </row>
    <row r="5" spans="1:16" x14ac:dyDescent="0.25">
      <c r="A5" s="5" t="s">
        <v>13</v>
      </c>
      <c r="B5" s="4" t="str">
        <f t="shared" si="0"/>
        <v>Apr</v>
      </c>
      <c r="C5" s="6">
        <v>3.9</v>
      </c>
      <c r="D5" s="7">
        <f t="shared" ref="D5:G5" si="3">D4</f>
        <v>4.0333333333333341</v>
      </c>
      <c r="E5" s="7">
        <f t="shared" si="3"/>
        <v>4.500432699830248</v>
      </c>
      <c r="F5" s="7">
        <f t="shared" si="3"/>
        <v>3.5662339668364202</v>
      </c>
      <c r="G5" s="11">
        <f t="shared" si="3"/>
        <v>0.15569978883230459</v>
      </c>
    </row>
    <row r="6" spans="1:16" x14ac:dyDescent="0.25">
      <c r="A6" s="5" t="s">
        <v>14</v>
      </c>
      <c r="B6" s="4" t="str">
        <f t="shared" si="0"/>
        <v>May</v>
      </c>
      <c r="C6" s="8">
        <v>4</v>
      </c>
      <c r="D6" s="7">
        <f t="shared" ref="D6:G6" si="4">D5</f>
        <v>4.0333333333333341</v>
      </c>
      <c r="E6" s="7">
        <f t="shared" si="4"/>
        <v>4.500432699830248</v>
      </c>
      <c r="F6" s="7">
        <f t="shared" si="4"/>
        <v>3.5662339668364202</v>
      </c>
      <c r="G6" s="11">
        <f t="shared" si="4"/>
        <v>0.15569978883230459</v>
      </c>
    </row>
    <row r="7" spans="1:16" x14ac:dyDescent="0.25">
      <c r="A7" s="9">
        <v>45444</v>
      </c>
      <c r="B7" s="4" t="str">
        <f t="shared" si="0"/>
        <v>454</v>
      </c>
      <c r="C7" s="6">
        <v>4.0999999999999996</v>
      </c>
      <c r="D7" s="7">
        <f t="shared" ref="D7:G7" si="5">D6</f>
        <v>4.0333333333333341</v>
      </c>
      <c r="E7" s="7">
        <f t="shared" si="5"/>
        <v>4.500432699830248</v>
      </c>
      <c r="F7" s="7">
        <f t="shared" si="5"/>
        <v>3.5662339668364202</v>
      </c>
      <c r="G7" s="11">
        <f t="shared" si="5"/>
        <v>0.15569978883230459</v>
      </c>
    </row>
    <row r="8" spans="1:16" x14ac:dyDescent="0.25">
      <c r="A8" s="9">
        <v>45474</v>
      </c>
      <c r="B8" s="4" t="str">
        <f t="shared" si="0"/>
        <v>454</v>
      </c>
      <c r="C8" s="6">
        <v>4.2</v>
      </c>
      <c r="D8" s="7">
        <f t="shared" ref="D8:G8" si="6">D7</f>
        <v>4.0333333333333341</v>
      </c>
      <c r="E8" s="7">
        <f t="shared" si="6"/>
        <v>4.500432699830248</v>
      </c>
      <c r="F8" s="7">
        <f t="shared" si="6"/>
        <v>3.5662339668364202</v>
      </c>
      <c r="G8" s="11">
        <f t="shared" si="6"/>
        <v>0.15569978883230459</v>
      </c>
    </row>
    <row r="9" spans="1:16" x14ac:dyDescent="0.25">
      <c r="A9" s="5" t="s">
        <v>15</v>
      </c>
      <c r="B9" s="4" t="str">
        <f t="shared" si="0"/>
        <v>Aug</v>
      </c>
      <c r="C9" s="6">
        <v>4.2</v>
      </c>
      <c r="D9" s="7">
        <f t="shared" ref="D9:G9" si="7">D8</f>
        <v>4.0333333333333341</v>
      </c>
      <c r="E9" s="7">
        <f t="shared" si="7"/>
        <v>4.500432699830248</v>
      </c>
      <c r="F9" s="7">
        <f t="shared" si="7"/>
        <v>3.5662339668364202</v>
      </c>
      <c r="G9" s="11">
        <f t="shared" si="7"/>
        <v>0.15569978883230459</v>
      </c>
    </row>
    <row r="10" spans="1:16" x14ac:dyDescent="0.25">
      <c r="A10" s="9">
        <v>45536</v>
      </c>
      <c r="B10" s="4" t="str">
        <f t="shared" si="0"/>
        <v>455</v>
      </c>
      <c r="C10" s="6">
        <v>4.0999999999999996</v>
      </c>
      <c r="D10" s="7">
        <f t="shared" ref="D10:G10" si="8">D9</f>
        <v>4.0333333333333341</v>
      </c>
      <c r="E10" s="7">
        <f t="shared" si="8"/>
        <v>4.500432699830248</v>
      </c>
      <c r="F10" s="7">
        <f t="shared" si="8"/>
        <v>3.5662339668364202</v>
      </c>
      <c r="G10" s="11">
        <f t="shared" si="8"/>
        <v>0.15569978883230459</v>
      </c>
    </row>
    <row r="11" spans="1:16" x14ac:dyDescent="0.25">
      <c r="A11" s="5" t="s">
        <v>16</v>
      </c>
      <c r="B11" s="4" t="str">
        <f t="shared" si="0"/>
        <v>Oct</v>
      </c>
      <c r="C11" s="6">
        <v>4.0999999999999996</v>
      </c>
      <c r="D11" s="7">
        <f t="shared" ref="D11:G11" si="9">D10</f>
        <v>4.0333333333333341</v>
      </c>
      <c r="E11" s="7">
        <f t="shared" si="9"/>
        <v>4.500432699830248</v>
      </c>
      <c r="F11" s="7">
        <f t="shared" si="9"/>
        <v>3.5662339668364202</v>
      </c>
      <c r="G11" s="11">
        <f t="shared" si="9"/>
        <v>0.15569978883230459</v>
      </c>
    </row>
    <row r="12" spans="1:16" x14ac:dyDescent="0.25">
      <c r="A12" s="5" t="s">
        <v>17</v>
      </c>
      <c r="B12" s="4" t="str">
        <f t="shared" si="0"/>
        <v>Nov</v>
      </c>
      <c r="C12" s="6">
        <v>4.2</v>
      </c>
      <c r="D12" s="7">
        <f t="shared" ref="D12:G12" si="10">D11</f>
        <v>4.0333333333333341</v>
      </c>
      <c r="E12" s="7">
        <f t="shared" si="10"/>
        <v>4.500432699830248</v>
      </c>
      <c r="F12" s="7">
        <f t="shared" si="10"/>
        <v>3.5662339668364202</v>
      </c>
      <c r="G12" s="11">
        <f t="shared" si="10"/>
        <v>0.15569978883230459</v>
      </c>
    </row>
    <row r="13" spans="1:16" x14ac:dyDescent="0.25">
      <c r="A13" s="5" t="s">
        <v>18</v>
      </c>
      <c r="B13" s="4" t="str">
        <f t="shared" si="0"/>
        <v>Dec</v>
      </c>
      <c r="C13" s="6">
        <v>4.0999999999999996</v>
      </c>
      <c r="D13" s="7">
        <f t="shared" ref="D13:G13" si="11">D12</f>
        <v>4.0333333333333341</v>
      </c>
      <c r="E13" s="7">
        <f t="shared" si="11"/>
        <v>4.500432699830248</v>
      </c>
      <c r="F13" s="7">
        <f t="shared" si="11"/>
        <v>3.5662339668364202</v>
      </c>
      <c r="G13" s="11">
        <f t="shared" si="11"/>
        <v>0.15569978883230459</v>
      </c>
    </row>
    <row r="14" spans="1:16" x14ac:dyDescent="0.25">
      <c r="G14" s="12"/>
    </row>
    <row r="15" spans="1:16" x14ac:dyDescent="0.25">
      <c r="G15" s="12"/>
    </row>
    <row r="16" spans="1:16" x14ac:dyDescent="0.25">
      <c r="G16" s="12"/>
    </row>
    <row r="17" spans="7:7" x14ac:dyDescent="0.25">
      <c r="G17" s="12"/>
    </row>
    <row r="18" spans="7:7" x14ac:dyDescent="0.25">
      <c r="G18" s="12"/>
    </row>
    <row r="19" spans="7:7" x14ac:dyDescent="0.25">
      <c r="G19" s="12"/>
    </row>
    <row r="20" spans="7:7" x14ac:dyDescent="0.25">
      <c r="G20" s="12"/>
    </row>
    <row r="21" spans="7:7" x14ac:dyDescent="0.25">
      <c r="G21" s="12"/>
    </row>
    <row r="22" spans="7:7" x14ac:dyDescent="0.25">
      <c r="G22" s="12"/>
    </row>
    <row r="23" spans="7:7" x14ac:dyDescent="0.25">
      <c r="G23" s="12"/>
    </row>
    <row r="24" spans="7:7" x14ac:dyDescent="0.25">
      <c r="G24" s="12"/>
    </row>
    <row r="25" spans="7:7" x14ac:dyDescent="0.25">
      <c r="G25" s="12"/>
    </row>
    <row r="26" spans="7:7" x14ac:dyDescent="0.25">
      <c r="G26" s="12"/>
    </row>
    <row r="27" spans="7:7" x14ac:dyDescent="0.25">
      <c r="G27" s="12"/>
    </row>
    <row r="28" spans="7:7" x14ac:dyDescent="0.25">
      <c r="G28" s="12"/>
    </row>
    <row r="29" spans="7:7" x14ac:dyDescent="0.25">
      <c r="G29" s="12"/>
    </row>
    <row r="30" spans="7:7" x14ac:dyDescent="0.25">
      <c r="G30" s="12"/>
    </row>
    <row r="31" spans="7:7" x14ac:dyDescent="0.25">
      <c r="G31" s="12"/>
    </row>
    <row r="32" spans="7:7" x14ac:dyDescent="0.25">
      <c r="G32" s="12"/>
    </row>
    <row r="33" spans="7:7" x14ac:dyDescent="0.25">
      <c r="G33" s="12"/>
    </row>
    <row r="34" spans="7:7" x14ac:dyDescent="0.25">
      <c r="G34" s="12"/>
    </row>
    <row r="35" spans="7:7" x14ac:dyDescent="0.25">
      <c r="G35" s="12"/>
    </row>
    <row r="36" spans="7:7" x14ac:dyDescent="0.25">
      <c r="G36" s="12"/>
    </row>
    <row r="37" spans="7:7" x14ac:dyDescent="0.25">
      <c r="G37" s="12"/>
    </row>
    <row r="38" spans="7:7" x14ac:dyDescent="0.25">
      <c r="G38" s="12"/>
    </row>
    <row r="39" spans="7:7" x14ac:dyDescent="0.25">
      <c r="G39" s="12"/>
    </row>
    <row r="40" spans="7:7" x14ac:dyDescent="0.25">
      <c r="G40" s="12"/>
    </row>
    <row r="41" spans="7:7" x14ac:dyDescent="0.25">
      <c r="G41" s="12"/>
    </row>
    <row r="42" spans="7:7" x14ac:dyDescent="0.25">
      <c r="G42" s="12"/>
    </row>
    <row r="43" spans="7:7" x14ac:dyDescent="0.25">
      <c r="G43" s="12"/>
    </row>
    <row r="44" spans="7:7" x14ac:dyDescent="0.25">
      <c r="G44" s="12"/>
    </row>
    <row r="45" spans="7:7" x14ac:dyDescent="0.25">
      <c r="G45" s="12"/>
    </row>
    <row r="46" spans="7:7" x14ac:dyDescent="0.25">
      <c r="G46" s="12"/>
    </row>
    <row r="47" spans="7:7" x14ac:dyDescent="0.25">
      <c r="G47" s="12"/>
    </row>
    <row r="48" spans="7:7" x14ac:dyDescent="0.25">
      <c r="G48" s="12"/>
    </row>
    <row r="49" spans="7:7" x14ac:dyDescent="0.25">
      <c r="G49" s="12"/>
    </row>
    <row r="50" spans="7:7" x14ac:dyDescent="0.25">
      <c r="G50" s="12"/>
    </row>
    <row r="51" spans="7:7" x14ac:dyDescent="0.25">
      <c r="G51" s="12"/>
    </row>
    <row r="52" spans="7:7" x14ac:dyDescent="0.25">
      <c r="G52" s="12"/>
    </row>
    <row r="53" spans="7:7" x14ac:dyDescent="0.25">
      <c r="G53" s="12"/>
    </row>
    <row r="54" spans="7:7" x14ac:dyDescent="0.25">
      <c r="G54" s="12"/>
    </row>
    <row r="55" spans="7:7" x14ac:dyDescent="0.25">
      <c r="G55" s="12"/>
    </row>
    <row r="56" spans="7:7" x14ac:dyDescent="0.25">
      <c r="G56" s="12"/>
    </row>
    <row r="57" spans="7:7" x14ac:dyDescent="0.25">
      <c r="G57" s="12"/>
    </row>
    <row r="58" spans="7:7" x14ac:dyDescent="0.25">
      <c r="G58" s="12"/>
    </row>
    <row r="59" spans="7:7" x14ac:dyDescent="0.25">
      <c r="G59" s="12"/>
    </row>
    <row r="60" spans="7:7" x14ac:dyDescent="0.25">
      <c r="G60" s="12"/>
    </row>
    <row r="61" spans="7:7" x14ac:dyDescent="0.25">
      <c r="G61" s="12"/>
    </row>
    <row r="62" spans="7:7" x14ac:dyDescent="0.25">
      <c r="G62" s="12"/>
    </row>
    <row r="63" spans="7:7" x14ac:dyDescent="0.25">
      <c r="G63" s="12"/>
    </row>
    <row r="64" spans="7:7" x14ac:dyDescent="0.25">
      <c r="G64" s="12"/>
    </row>
    <row r="65" spans="7:7" x14ac:dyDescent="0.25">
      <c r="G65" s="12"/>
    </row>
    <row r="66" spans="7:7" x14ac:dyDescent="0.25">
      <c r="G66" s="12"/>
    </row>
    <row r="67" spans="7:7" x14ac:dyDescent="0.25">
      <c r="G67" s="12"/>
    </row>
    <row r="68" spans="7:7" x14ac:dyDescent="0.25">
      <c r="G68" s="12"/>
    </row>
    <row r="69" spans="7:7" x14ac:dyDescent="0.25">
      <c r="G69" s="12"/>
    </row>
    <row r="70" spans="7:7" x14ac:dyDescent="0.25">
      <c r="G70" s="12"/>
    </row>
    <row r="71" spans="7:7" x14ac:dyDescent="0.25">
      <c r="G71" s="12"/>
    </row>
    <row r="72" spans="7:7" x14ac:dyDescent="0.25">
      <c r="G72" s="12"/>
    </row>
    <row r="73" spans="7:7" x14ac:dyDescent="0.25">
      <c r="G73" s="12"/>
    </row>
    <row r="74" spans="7:7" x14ac:dyDescent="0.25">
      <c r="G74" s="12"/>
    </row>
    <row r="75" spans="7:7" x14ac:dyDescent="0.25">
      <c r="G75" s="12"/>
    </row>
    <row r="76" spans="7:7" x14ac:dyDescent="0.25">
      <c r="G76" s="12"/>
    </row>
    <row r="77" spans="7:7" x14ac:dyDescent="0.25">
      <c r="G77" s="12"/>
    </row>
    <row r="78" spans="7:7" x14ac:dyDescent="0.25">
      <c r="G78" s="12"/>
    </row>
    <row r="79" spans="7:7" x14ac:dyDescent="0.25">
      <c r="G79" s="12"/>
    </row>
    <row r="80" spans="7:7" x14ac:dyDescent="0.25">
      <c r="G80" s="12"/>
    </row>
    <row r="81" spans="7:7" x14ac:dyDescent="0.25">
      <c r="G81" s="12"/>
    </row>
    <row r="82" spans="7:7" x14ac:dyDescent="0.25">
      <c r="G82" s="12"/>
    </row>
    <row r="83" spans="7:7" x14ac:dyDescent="0.25">
      <c r="G83" s="12"/>
    </row>
    <row r="84" spans="7:7" x14ac:dyDescent="0.25">
      <c r="G84" s="12"/>
    </row>
    <row r="85" spans="7:7" x14ac:dyDescent="0.25">
      <c r="G85" s="12"/>
    </row>
    <row r="86" spans="7:7" x14ac:dyDescent="0.25">
      <c r="G86" s="12"/>
    </row>
    <row r="87" spans="7:7" x14ac:dyDescent="0.25">
      <c r="G87" s="12"/>
    </row>
    <row r="88" spans="7:7" x14ac:dyDescent="0.25">
      <c r="G88" s="12"/>
    </row>
    <row r="89" spans="7:7" x14ac:dyDescent="0.25">
      <c r="G89" s="12"/>
    </row>
    <row r="90" spans="7:7" x14ac:dyDescent="0.25">
      <c r="G90" s="12"/>
    </row>
    <row r="91" spans="7:7" x14ac:dyDescent="0.25">
      <c r="G91" s="12"/>
    </row>
    <row r="92" spans="7:7" x14ac:dyDescent="0.25">
      <c r="G92" s="12"/>
    </row>
    <row r="93" spans="7:7" x14ac:dyDescent="0.25">
      <c r="G93" s="12"/>
    </row>
    <row r="94" spans="7:7" x14ac:dyDescent="0.25">
      <c r="G94" s="12"/>
    </row>
    <row r="95" spans="7:7" x14ac:dyDescent="0.25">
      <c r="G95" s="12"/>
    </row>
    <row r="96" spans="7:7" x14ac:dyDescent="0.25">
      <c r="G96" s="12"/>
    </row>
    <row r="97" spans="7:7" x14ac:dyDescent="0.25">
      <c r="G97" s="12"/>
    </row>
    <row r="98" spans="7:7" x14ac:dyDescent="0.25">
      <c r="G98" s="12"/>
    </row>
    <row r="99" spans="7:7" x14ac:dyDescent="0.25">
      <c r="G99" s="12"/>
    </row>
    <row r="100" spans="7:7" x14ac:dyDescent="0.25">
      <c r="G100" s="12"/>
    </row>
    <row r="101" spans="7:7" x14ac:dyDescent="0.25">
      <c r="G101" s="12"/>
    </row>
    <row r="102" spans="7:7" x14ac:dyDescent="0.25">
      <c r="G102" s="12"/>
    </row>
    <row r="103" spans="7:7" x14ac:dyDescent="0.25">
      <c r="G103" s="12"/>
    </row>
    <row r="104" spans="7:7" x14ac:dyDescent="0.25">
      <c r="G104" s="12"/>
    </row>
    <row r="105" spans="7:7" x14ac:dyDescent="0.25">
      <c r="G105" s="12"/>
    </row>
    <row r="106" spans="7:7" x14ac:dyDescent="0.25">
      <c r="G106" s="12"/>
    </row>
    <row r="107" spans="7:7" x14ac:dyDescent="0.25">
      <c r="G107" s="12"/>
    </row>
    <row r="108" spans="7:7" x14ac:dyDescent="0.25">
      <c r="G108" s="12"/>
    </row>
    <row r="109" spans="7:7" x14ac:dyDescent="0.25">
      <c r="G109" s="12"/>
    </row>
    <row r="110" spans="7:7" x14ac:dyDescent="0.25">
      <c r="G110" s="12"/>
    </row>
    <row r="111" spans="7:7" x14ac:dyDescent="0.25">
      <c r="G111" s="12"/>
    </row>
    <row r="112" spans="7:7" x14ac:dyDescent="0.25">
      <c r="G112" s="12"/>
    </row>
    <row r="113" spans="7:7" x14ac:dyDescent="0.25">
      <c r="G113" s="12"/>
    </row>
    <row r="114" spans="7:7" x14ac:dyDescent="0.25">
      <c r="G114" s="12"/>
    </row>
    <row r="115" spans="7:7" x14ac:dyDescent="0.25">
      <c r="G115" s="12"/>
    </row>
    <row r="116" spans="7:7" x14ac:dyDescent="0.25">
      <c r="G116" s="12"/>
    </row>
    <row r="117" spans="7:7" x14ac:dyDescent="0.25">
      <c r="G117" s="12"/>
    </row>
    <row r="118" spans="7:7" x14ac:dyDescent="0.25">
      <c r="G118" s="12"/>
    </row>
    <row r="119" spans="7:7" x14ac:dyDescent="0.25">
      <c r="G119" s="12"/>
    </row>
    <row r="120" spans="7:7" x14ac:dyDescent="0.25">
      <c r="G120" s="12"/>
    </row>
    <row r="121" spans="7:7" x14ac:dyDescent="0.25">
      <c r="G121" s="12"/>
    </row>
    <row r="122" spans="7:7" x14ac:dyDescent="0.25">
      <c r="G122" s="12"/>
    </row>
    <row r="123" spans="7:7" x14ac:dyDescent="0.25">
      <c r="G123" s="12"/>
    </row>
    <row r="124" spans="7:7" x14ac:dyDescent="0.25">
      <c r="G124" s="12"/>
    </row>
    <row r="125" spans="7:7" x14ac:dyDescent="0.25">
      <c r="G125" s="12"/>
    </row>
    <row r="126" spans="7:7" x14ac:dyDescent="0.25">
      <c r="G126" s="12"/>
    </row>
    <row r="127" spans="7:7" x14ac:dyDescent="0.25">
      <c r="G127" s="12"/>
    </row>
    <row r="128" spans="7:7" x14ac:dyDescent="0.25">
      <c r="G128" s="12"/>
    </row>
    <row r="129" spans="7:7" x14ac:dyDescent="0.25">
      <c r="G129" s="12"/>
    </row>
    <row r="130" spans="7:7" x14ac:dyDescent="0.25">
      <c r="G130" s="12"/>
    </row>
    <row r="131" spans="7:7" x14ac:dyDescent="0.25">
      <c r="G131" s="12"/>
    </row>
    <row r="132" spans="7:7" x14ac:dyDescent="0.25">
      <c r="G132" s="12"/>
    </row>
    <row r="133" spans="7:7" x14ac:dyDescent="0.25">
      <c r="G133" s="12"/>
    </row>
    <row r="134" spans="7:7" x14ac:dyDescent="0.25">
      <c r="G134" s="12"/>
    </row>
    <row r="135" spans="7:7" x14ac:dyDescent="0.25">
      <c r="G135" s="12"/>
    </row>
    <row r="136" spans="7:7" x14ac:dyDescent="0.25">
      <c r="G136" s="12"/>
    </row>
    <row r="137" spans="7:7" x14ac:dyDescent="0.25">
      <c r="G137" s="12"/>
    </row>
    <row r="138" spans="7:7" x14ac:dyDescent="0.25">
      <c r="G138" s="12"/>
    </row>
    <row r="139" spans="7:7" x14ac:dyDescent="0.25">
      <c r="G139" s="12"/>
    </row>
    <row r="140" spans="7:7" x14ac:dyDescent="0.25">
      <c r="G140" s="12"/>
    </row>
    <row r="141" spans="7:7" x14ac:dyDescent="0.25">
      <c r="G141" s="12"/>
    </row>
    <row r="142" spans="7:7" x14ac:dyDescent="0.25">
      <c r="G142" s="12"/>
    </row>
    <row r="143" spans="7:7" x14ac:dyDescent="0.25">
      <c r="G143" s="12"/>
    </row>
    <row r="144" spans="7:7" x14ac:dyDescent="0.25">
      <c r="G144" s="12"/>
    </row>
    <row r="145" spans="7:7" x14ac:dyDescent="0.25">
      <c r="G145" s="12"/>
    </row>
    <row r="146" spans="7:7" x14ac:dyDescent="0.25">
      <c r="G146" s="12"/>
    </row>
    <row r="147" spans="7:7" x14ac:dyDescent="0.25">
      <c r="G147" s="12"/>
    </row>
    <row r="148" spans="7:7" x14ac:dyDescent="0.25">
      <c r="G148" s="12"/>
    </row>
    <row r="149" spans="7:7" x14ac:dyDescent="0.25">
      <c r="G149" s="12"/>
    </row>
    <row r="150" spans="7:7" x14ac:dyDescent="0.25">
      <c r="G150" s="12"/>
    </row>
    <row r="151" spans="7:7" x14ac:dyDescent="0.25">
      <c r="G151" s="12"/>
    </row>
    <row r="152" spans="7:7" x14ac:dyDescent="0.25">
      <c r="G152" s="12"/>
    </row>
    <row r="153" spans="7:7" x14ac:dyDescent="0.25">
      <c r="G153" s="12"/>
    </row>
    <row r="154" spans="7:7" x14ac:dyDescent="0.25">
      <c r="G154" s="12"/>
    </row>
    <row r="155" spans="7:7" x14ac:dyDescent="0.25">
      <c r="G155" s="12"/>
    </row>
    <row r="156" spans="7:7" x14ac:dyDescent="0.25">
      <c r="G156" s="12"/>
    </row>
    <row r="157" spans="7:7" x14ac:dyDescent="0.25">
      <c r="G157" s="12"/>
    </row>
    <row r="158" spans="7:7" x14ac:dyDescent="0.25">
      <c r="G158" s="12"/>
    </row>
    <row r="159" spans="7:7" x14ac:dyDescent="0.25">
      <c r="G159" s="12"/>
    </row>
    <row r="160" spans="7:7" x14ac:dyDescent="0.25">
      <c r="G160" s="12"/>
    </row>
    <row r="161" spans="7:7" x14ac:dyDescent="0.25">
      <c r="G161" s="12"/>
    </row>
    <row r="162" spans="7:7" x14ac:dyDescent="0.25">
      <c r="G162" s="12"/>
    </row>
    <row r="163" spans="7:7" x14ac:dyDescent="0.25">
      <c r="G163" s="12"/>
    </row>
    <row r="164" spans="7:7" x14ac:dyDescent="0.25">
      <c r="G164" s="12"/>
    </row>
    <row r="165" spans="7:7" x14ac:dyDescent="0.25">
      <c r="G165" s="12"/>
    </row>
    <row r="166" spans="7:7" x14ac:dyDescent="0.25">
      <c r="G166" s="12"/>
    </row>
    <row r="167" spans="7:7" x14ac:dyDescent="0.25">
      <c r="G167" s="12"/>
    </row>
    <row r="168" spans="7:7" x14ac:dyDescent="0.25">
      <c r="G168" s="12"/>
    </row>
    <row r="169" spans="7:7" x14ac:dyDescent="0.25">
      <c r="G169" s="12"/>
    </row>
    <row r="170" spans="7:7" x14ac:dyDescent="0.25">
      <c r="G170" s="12"/>
    </row>
    <row r="171" spans="7:7" x14ac:dyDescent="0.25">
      <c r="G171" s="12"/>
    </row>
    <row r="172" spans="7:7" x14ac:dyDescent="0.25">
      <c r="G172" s="12"/>
    </row>
    <row r="173" spans="7:7" x14ac:dyDescent="0.25">
      <c r="G173" s="12"/>
    </row>
    <row r="174" spans="7:7" x14ac:dyDescent="0.25">
      <c r="G174" s="12"/>
    </row>
    <row r="175" spans="7:7" x14ac:dyDescent="0.25">
      <c r="G175" s="12"/>
    </row>
    <row r="176" spans="7:7" x14ac:dyDescent="0.25">
      <c r="G176" s="12"/>
    </row>
    <row r="177" spans="7:7" x14ac:dyDescent="0.25">
      <c r="G177" s="12"/>
    </row>
    <row r="178" spans="7:7" x14ac:dyDescent="0.25">
      <c r="G178" s="12"/>
    </row>
    <row r="179" spans="7:7" x14ac:dyDescent="0.25">
      <c r="G179" s="12"/>
    </row>
    <row r="180" spans="7:7" x14ac:dyDescent="0.25">
      <c r="G180" s="12"/>
    </row>
    <row r="181" spans="7:7" x14ac:dyDescent="0.25">
      <c r="G181" s="12"/>
    </row>
    <row r="182" spans="7:7" x14ac:dyDescent="0.25">
      <c r="G182" s="12"/>
    </row>
    <row r="183" spans="7:7" x14ac:dyDescent="0.25">
      <c r="G183" s="12"/>
    </row>
    <row r="184" spans="7:7" x14ac:dyDescent="0.25">
      <c r="G184" s="12"/>
    </row>
    <row r="185" spans="7:7" x14ac:dyDescent="0.25">
      <c r="G185" s="12"/>
    </row>
    <row r="186" spans="7:7" x14ac:dyDescent="0.25">
      <c r="G186" s="12"/>
    </row>
    <row r="187" spans="7:7" x14ac:dyDescent="0.25">
      <c r="G187" s="12"/>
    </row>
    <row r="188" spans="7:7" x14ac:dyDescent="0.25">
      <c r="G188" s="12"/>
    </row>
    <row r="189" spans="7:7" x14ac:dyDescent="0.25">
      <c r="G189" s="12"/>
    </row>
    <row r="190" spans="7:7" x14ac:dyDescent="0.25">
      <c r="G190" s="12"/>
    </row>
    <row r="191" spans="7:7" x14ac:dyDescent="0.25">
      <c r="G191" s="12"/>
    </row>
    <row r="192" spans="7:7" x14ac:dyDescent="0.25">
      <c r="G192" s="12"/>
    </row>
    <row r="193" spans="7:7" x14ac:dyDescent="0.25">
      <c r="G193" s="12"/>
    </row>
    <row r="194" spans="7:7" x14ac:dyDescent="0.25">
      <c r="G194" s="12"/>
    </row>
    <row r="195" spans="7:7" x14ac:dyDescent="0.25">
      <c r="G195" s="12"/>
    </row>
    <row r="196" spans="7:7" x14ac:dyDescent="0.25">
      <c r="G196" s="12"/>
    </row>
    <row r="197" spans="7:7" x14ac:dyDescent="0.25">
      <c r="G197" s="12"/>
    </row>
    <row r="198" spans="7:7" x14ac:dyDescent="0.25">
      <c r="G198" s="12"/>
    </row>
    <row r="199" spans="7:7" x14ac:dyDescent="0.25">
      <c r="G199" s="12"/>
    </row>
    <row r="200" spans="7:7" x14ac:dyDescent="0.25">
      <c r="G200" s="12"/>
    </row>
    <row r="201" spans="7:7" x14ac:dyDescent="0.25">
      <c r="G201" s="12"/>
    </row>
    <row r="202" spans="7:7" x14ac:dyDescent="0.25">
      <c r="G202" s="12"/>
    </row>
    <row r="203" spans="7:7" x14ac:dyDescent="0.25">
      <c r="G203" s="12"/>
    </row>
    <row r="204" spans="7:7" x14ac:dyDescent="0.25">
      <c r="G204" s="12"/>
    </row>
    <row r="205" spans="7:7" x14ac:dyDescent="0.25">
      <c r="G205" s="12"/>
    </row>
    <row r="206" spans="7:7" x14ac:dyDescent="0.25">
      <c r="G206" s="12"/>
    </row>
    <row r="207" spans="7:7" x14ac:dyDescent="0.25">
      <c r="G207" s="12"/>
    </row>
    <row r="208" spans="7:7" x14ac:dyDescent="0.25">
      <c r="G208" s="12"/>
    </row>
    <row r="209" spans="7:7" x14ac:dyDescent="0.25">
      <c r="G209" s="12"/>
    </row>
    <row r="210" spans="7:7" x14ac:dyDescent="0.25">
      <c r="G210" s="12"/>
    </row>
    <row r="211" spans="7:7" x14ac:dyDescent="0.25">
      <c r="G211" s="12"/>
    </row>
    <row r="212" spans="7:7" x14ac:dyDescent="0.25">
      <c r="G212" s="12"/>
    </row>
    <row r="213" spans="7:7" x14ac:dyDescent="0.25">
      <c r="G213" s="12"/>
    </row>
    <row r="214" spans="7:7" x14ac:dyDescent="0.25">
      <c r="G214" s="12"/>
    </row>
    <row r="215" spans="7:7" x14ac:dyDescent="0.25">
      <c r="G215" s="12"/>
    </row>
    <row r="216" spans="7:7" x14ac:dyDescent="0.25">
      <c r="G216" s="12"/>
    </row>
    <row r="217" spans="7:7" x14ac:dyDescent="0.25">
      <c r="G217" s="12"/>
    </row>
    <row r="218" spans="7:7" x14ac:dyDescent="0.25">
      <c r="G218" s="12"/>
    </row>
    <row r="219" spans="7:7" x14ac:dyDescent="0.25">
      <c r="G219" s="12"/>
    </row>
    <row r="220" spans="7:7" x14ac:dyDescent="0.25">
      <c r="G220" s="12"/>
    </row>
    <row r="221" spans="7:7" x14ac:dyDescent="0.25">
      <c r="G221" s="12"/>
    </row>
    <row r="222" spans="7:7" x14ac:dyDescent="0.25">
      <c r="G222" s="12"/>
    </row>
    <row r="223" spans="7:7" x14ac:dyDescent="0.25">
      <c r="G223" s="12"/>
    </row>
    <row r="224" spans="7:7" x14ac:dyDescent="0.25">
      <c r="G224" s="12"/>
    </row>
    <row r="225" spans="7:7" x14ac:dyDescent="0.25">
      <c r="G225" s="12"/>
    </row>
    <row r="226" spans="7:7" x14ac:dyDescent="0.25">
      <c r="G226" s="12"/>
    </row>
    <row r="227" spans="7:7" x14ac:dyDescent="0.25">
      <c r="G227" s="12"/>
    </row>
    <row r="228" spans="7:7" x14ac:dyDescent="0.25">
      <c r="G228" s="12"/>
    </row>
    <row r="229" spans="7:7" x14ac:dyDescent="0.25">
      <c r="G229" s="12"/>
    </row>
    <row r="230" spans="7:7" x14ac:dyDescent="0.25">
      <c r="G230" s="12"/>
    </row>
    <row r="231" spans="7:7" x14ac:dyDescent="0.25">
      <c r="G231" s="12"/>
    </row>
    <row r="232" spans="7:7" x14ac:dyDescent="0.25">
      <c r="G232" s="12"/>
    </row>
    <row r="233" spans="7:7" x14ac:dyDescent="0.25">
      <c r="G233" s="12"/>
    </row>
    <row r="234" spans="7:7" x14ac:dyDescent="0.25">
      <c r="G234" s="12"/>
    </row>
    <row r="235" spans="7:7" x14ac:dyDescent="0.25">
      <c r="G235" s="12"/>
    </row>
    <row r="236" spans="7:7" x14ac:dyDescent="0.25">
      <c r="G236" s="12"/>
    </row>
    <row r="237" spans="7:7" x14ac:dyDescent="0.25">
      <c r="G237" s="12"/>
    </row>
    <row r="238" spans="7:7" x14ac:dyDescent="0.25">
      <c r="G238" s="12"/>
    </row>
    <row r="239" spans="7:7" x14ac:dyDescent="0.25">
      <c r="G239" s="12"/>
    </row>
    <row r="240" spans="7:7" x14ac:dyDescent="0.25">
      <c r="G240" s="12"/>
    </row>
    <row r="241" spans="7:7" x14ac:dyDescent="0.25">
      <c r="G241" s="12"/>
    </row>
    <row r="242" spans="7:7" x14ac:dyDescent="0.25">
      <c r="G242" s="12"/>
    </row>
    <row r="243" spans="7:7" x14ac:dyDescent="0.25">
      <c r="G243" s="12"/>
    </row>
    <row r="244" spans="7:7" x14ac:dyDescent="0.25">
      <c r="G244" s="12"/>
    </row>
    <row r="245" spans="7:7" x14ac:dyDescent="0.25">
      <c r="G245" s="12"/>
    </row>
    <row r="246" spans="7:7" x14ac:dyDescent="0.25">
      <c r="G246" s="12"/>
    </row>
    <row r="247" spans="7:7" x14ac:dyDescent="0.25">
      <c r="G247" s="12"/>
    </row>
    <row r="248" spans="7:7" x14ac:dyDescent="0.25">
      <c r="G248" s="12"/>
    </row>
    <row r="249" spans="7:7" x14ac:dyDescent="0.25">
      <c r="G249" s="12"/>
    </row>
    <row r="250" spans="7:7" x14ac:dyDescent="0.25">
      <c r="G250" s="12"/>
    </row>
    <row r="251" spans="7:7" x14ac:dyDescent="0.25">
      <c r="G251" s="12"/>
    </row>
    <row r="252" spans="7:7" x14ac:dyDescent="0.25">
      <c r="G252" s="12"/>
    </row>
    <row r="253" spans="7:7" x14ac:dyDescent="0.25">
      <c r="G253" s="12"/>
    </row>
    <row r="254" spans="7:7" x14ac:dyDescent="0.25">
      <c r="G254" s="12"/>
    </row>
    <row r="255" spans="7:7" x14ac:dyDescent="0.25">
      <c r="G255" s="12"/>
    </row>
    <row r="256" spans="7:7" x14ac:dyDescent="0.25">
      <c r="G256" s="12"/>
    </row>
    <row r="257" spans="7:7" x14ac:dyDescent="0.25">
      <c r="G257" s="12"/>
    </row>
    <row r="258" spans="7:7" x14ac:dyDescent="0.25">
      <c r="G258" s="12"/>
    </row>
    <row r="259" spans="7:7" x14ac:dyDescent="0.25">
      <c r="G259" s="12"/>
    </row>
    <row r="260" spans="7:7" x14ac:dyDescent="0.25">
      <c r="G260" s="12"/>
    </row>
    <row r="261" spans="7:7" x14ac:dyDescent="0.25">
      <c r="G261" s="12"/>
    </row>
    <row r="262" spans="7:7" x14ac:dyDescent="0.25">
      <c r="G262" s="12"/>
    </row>
    <row r="263" spans="7:7" x14ac:dyDescent="0.25">
      <c r="G263" s="12"/>
    </row>
    <row r="264" spans="7:7" x14ac:dyDescent="0.25">
      <c r="G264" s="12"/>
    </row>
    <row r="265" spans="7:7" x14ac:dyDescent="0.25">
      <c r="G265" s="12"/>
    </row>
    <row r="266" spans="7:7" x14ac:dyDescent="0.25">
      <c r="G266" s="12"/>
    </row>
    <row r="267" spans="7:7" x14ac:dyDescent="0.25">
      <c r="G267" s="12"/>
    </row>
    <row r="268" spans="7:7" x14ac:dyDescent="0.25">
      <c r="G268" s="12"/>
    </row>
    <row r="269" spans="7:7" x14ac:dyDescent="0.25">
      <c r="G269" s="12"/>
    </row>
    <row r="270" spans="7:7" x14ac:dyDescent="0.25">
      <c r="G270" s="12"/>
    </row>
    <row r="271" spans="7:7" x14ac:dyDescent="0.25">
      <c r="G271" s="12"/>
    </row>
    <row r="272" spans="7:7" x14ac:dyDescent="0.25">
      <c r="G272" s="12"/>
    </row>
    <row r="273" spans="7:7" x14ac:dyDescent="0.25">
      <c r="G273" s="12"/>
    </row>
    <row r="274" spans="7:7" x14ac:dyDescent="0.25">
      <c r="G274" s="12"/>
    </row>
    <row r="275" spans="7:7" x14ac:dyDescent="0.25">
      <c r="G275" s="12"/>
    </row>
    <row r="276" spans="7:7" x14ac:dyDescent="0.25">
      <c r="G276" s="12"/>
    </row>
    <row r="277" spans="7:7" x14ac:dyDescent="0.25">
      <c r="G277" s="12"/>
    </row>
    <row r="278" spans="7:7" x14ac:dyDescent="0.25">
      <c r="G278" s="12"/>
    </row>
    <row r="279" spans="7:7" x14ac:dyDescent="0.25">
      <c r="G279" s="12"/>
    </row>
    <row r="280" spans="7:7" x14ac:dyDescent="0.25">
      <c r="G280" s="12"/>
    </row>
    <row r="281" spans="7:7" x14ac:dyDescent="0.25">
      <c r="G281" s="12"/>
    </row>
    <row r="282" spans="7:7" x14ac:dyDescent="0.25">
      <c r="G282" s="12"/>
    </row>
    <row r="283" spans="7:7" x14ac:dyDescent="0.25">
      <c r="G283" s="12"/>
    </row>
    <row r="284" spans="7:7" x14ac:dyDescent="0.25">
      <c r="G284" s="12"/>
    </row>
    <row r="285" spans="7:7" x14ac:dyDescent="0.25">
      <c r="G285" s="12"/>
    </row>
    <row r="286" spans="7:7" x14ac:dyDescent="0.25">
      <c r="G286" s="12"/>
    </row>
    <row r="287" spans="7:7" x14ac:dyDescent="0.25">
      <c r="G287" s="12"/>
    </row>
    <row r="288" spans="7:7" x14ac:dyDescent="0.25">
      <c r="G288" s="12"/>
    </row>
    <row r="289" spans="7:7" x14ac:dyDescent="0.25">
      <c r="G289" s="12"/>
    </row>
    <row r="290" spans="7:7" x14ac:dyDescent="0.25">
      <c r="G290" s="12"/>
    </row>
    <row r="291" spans="7:7" x14ac:dyDescent="0.25">
      <c r="G291" s="12"/>
    </row>
    <row r="292" spans="7:7" x14ac:dyDescent="0.25">
      <c r="G292" s="12"/>
    </row>
    <row r="293" spans="7:7" x14ac:dyDescent="0.25">
      <c r="G293" s="12"/>
    </row>
    <row r="294" spans="7:7" x14ac:dyDescent="0.25">
      <c r="G294" s="12"/>
    </row>
    <row r="295" spans="7:7" x14ac:dyDescent="0.25">
      <c r="G295" s="12"/>
    </row>
    <row r="296" spans="7:7" x14ac:dyDescent="0.25">
      <c r="G296" s="12"/>
    </row>
    <row r="297" spans="7:7" x14ac:dyDescent="0.25">
      <c r="G297" s="12"/>
    </row>
    <row r="298" spans="7:7" x14ac:dyDescent="0.25">
      <c r="G298" s="12"/>
    </row>
    <row r="299" spans="7:7" x14ac:dyDescent="0.25">
      <c r="G299" s="12"/>
    </row>
    <row r="300" spans="7:7" x14ac:dyDescent="0.25">
      <c r="G300" s="12"/>
    </row>
    <row r="301" spans="7:7" x14ac:dyDescent="0.25">
      <c r="G301" s="12"/>
    </row>
    <row r="302" spans="7:7" x14ac:dyDescent="0.25">
      <c r="G302" s="12"/>
    </row>
    <row r="303" spans="7:7" x14ac:dyDescent="0.25">
      <c r="G303" s="12"/>
    </row>
    <row r="304" spans="7:7" x14ac:dyDescent="0.25">
      <c r="G304" s="12"/>
    </row>
    <row r="305" spans="7:7" x14ac:dyDescent="0.25">
      <c r="G305" s="12"/>
    </row>
    <row r="306" spans="7:7" x14ac:dyDescent="0.25">
      <c r="G306" s="12"/>
    </row>
    <row r="307" spans="7:7" x14ac:dyDescent="0.25">
      <c r="G307" s="12"/>
    </row>
    <row r="308" spans="7:7" x14ac:dyDescent="0.25">
      <c r="G308" s="12"/>
    </row>
    <row r="309" spans="7:7" x14ac:dyDescent="0.25">
      <c r="G309" s="12"/>
    </row>
    <row r="310" spans="7:7" x14ac:dyDescent="0.25">
      <c r="G310" s="12"/>
    </row>
    <row r="311" spans="7:7" x14ac:dyDescent="0.25">
      <c r="G311" s="12"/>
    </row>
    <row r="312" spans="7:7" x14ac:dyDescent="0.25">
      <c r="G312" s="12"/>
    </row>
    <row r="313" spans="7:7" x14ac:dyDescent="0.25">
      <c r="G313" s="12"/>
    </row>
    <row r="314" spans="7:7" x14ac:dyDescent="0.25">
      <c r="G314" s="12"/>
    </row>
    <row r="315" spans="7:7" x14ac:dyDescent="0.25">
      <c r="G315" s="12"/>
    </row>
    <row r="316" spans="7:7" x14ac:dyDescent="0.25">
      <c r="G316" s="12"/>
    </row>
    <row r="317" spans="7:7" x14ac:dyDescent="0.25">
      <c r="G317" s="12"/>
    </row>
    <row r="318" spans="7:7" x14ac:dyDescent="0.25">
      <c r="G318" s="12"/>
    </row>
    <row r="319" spans="7:7" x14ac:dyDescent="0.25">
      <c r="G319" s="12"/>
    </row>
    <row r="320" spans="7:7" x14ac:dyDescent="0.25">
      <c r="G320" s="12"/>
    </row>
    <row r="321" spans="7:7" x14ac:dyDescent="0.25">
      <c r="G321" s="12"/>
    </row>
    <row r="322" spans="7:7" x14ac:dyDescent="0.25">
      <c r="G322" s="12"/>
    </row>
    <row r="323" spans="7:7" x14ac:dyDescent="0.25">
      <c r="G323" s="12"/>
    </row>
    <row r="324" spans="7:7" x14ac:dyDescent="0.25">
      <c r="G324" s="12"/>
    </row>
    <row r="325" spans="7:7" x14ac:dyDescent="0.25">
      <c r="G325" s="12"/>
    </row>
    <row r="326" spans="7:7" x14ac:dyDescent="0.25">
      <c r="G326" s="12"/>
    </row>
    <row r="327" spans="7:7" x14ac:dyDescent="0.25">
      <c r="G327" s="12"/>
    </row>
    <row r="328" spans="7:7" x14ac:dyDescent="0.25">
      <c r="G328" s="12"/>
    </row>
    <row r="329" spans="7:7" x14ac:dyDescent="0.25">
      <c r="G329" s="12"/>
    </row>
    <row r="330" spans="7:7" x14ac:dyDescent="0.25">
      <c r="G330" s="12"/>
    </row>
    <row r="331" spans="7:7" x14ac:dyDescent="0.25">
      <c r="G331" s="12"/>
    </row>
    <row r="332" spans="7:7" x14ac:dyDescent="0.25">
      <c r="G332" s="12"/>
    </row>
    <row r="333" spans="7:7" x14ac:dyDescent="0.25">
      <c r="G333" s="12"/>
    </row>
    <row r="334" spans="7:7" x14ac:dyDescent="0.25">
      <c r="G334" s="12"/>
    </row>
    <row r="335" spans="7:7" x14ac:dyDescent="0.25">
      <c r="G335" s="12"/>
    </row>
    <row r="336" spans="7:7" x14ac:dyDescent="0.25">
      <c r="G336" s="12"/>
    </row>
    <row r="337" spans="7:7" x14ac:dyDescent="0.25">
      <c r="G337" s="12"/>
    </row>
    <row r="338" spans="7:7" x14ac:dyDescent="0.25">
      <c r="G338" s="12"/>
    </row>
    <row r="339" spans="7:7" x14ac:dyDescent="0.25">
      <c r="G339" s="12"/>
    </row>
    <row r="340" spans="7:7" x14ac:dyDescent="0.25">
      <c r="G340" s="12"/>
    </row>
    <row r="341" spans="7:7" x14ac:dyDescent="0.25">
      <c r="G341" s="12"/>
    </row>
    <row r="342" spans="7:7" x14ac:dyDescent="0.25">
      <c r="G342" s="12"/>
    </row>
    <row r="343" spans="7:7" x14ac:dyDescent="0.25">
      <c r="G343" s="12"/>
    </row>
    <row r="344" spans="7:7" x14ac:dyDescent="0.25">
      <c r="G344" s="12"/>
    </row>
    <row r="345" spans="7:7" x14ac:dyDescent="0.25">
      <c r="G345" s="12"/>
    </row>
    <row r="346" spans="7:7" x14ac:dyDescent="0.25">
      <c r="G346" s="12"/>
    </row>
    <row r="347" spans="7:7" x14ac:dyDescent="0.25">
      <c r="G347" s="12"/>
    </row>
    <row r="348" spans="7:7" x14ac:dyDescent="0.25">
      <c r="G348" s="12"/>
    </row>
    <row r="349" spans="7:7" x14ac:dyDescent="0.25">
      <c r="G349" s="12"/>
    </row>
    <row r="350" spans="7:7" x14ac:dyDescent="0.25">
      <c r="G350" s="12"/>
    </row>
    <row r="351" spans="7:7" x14ac:dyDescent="0.25">
      <c r="G351" s="12"/>
    </row>
    <row r="352" spans="7:7" x14ac:dyDescent="0.25">
      <c r="G352" s="12"/>
    </row>
    <row r="353" spans="7:7" x14ac:dyDescent="0.25">
      <c r="G353" s="12"/>
    </row>
    <row r="354" spans="7:7" x14ac:dyDescent="0.25">
      <c r="G354" s="12"/>
    </row>
    <row r="355" spans="7:7" x14ac:dyDescent="0.25">
      <c r="G355" s="12"/>
    </row>
    <row r="356" spans="7:7" x14ac:dyDescent="0.25">
      <c r="G356" s="12"/>
    </row>
    <row r="357" spans="7:7" x14ac:dyDescent="0.25">
      <c r="G357" s="12"/>
    </row>
    <row r="358" spans="7:7" x14ac:dyDescent="0.25">
      <c r="G358" s="12"/>
    </row>
    <row r="359" spans="7:7" x14ac:dyDescent="0.25">
      <c r="G359" s="12"/>
    </row>
    <row r="360" spans="7:7" x14ac:dyDescent="0.25">
      <c r="G360" s="12"/>
    </row>
    <row r="361" spans="7:7" x14ac:dyDescent="0.25">
      <c r="G361" s="12"/>
    </row>
    <row r="362" spans="7:7" x14ac:dyDescent="0.25">
      <c r="G362" s="12"/>
    </row>
    <row r="363" spans="7:7" x14ac:dyDescent="0.25">
      <c r="G363" s="12"/>
    </row>
    <row r="364" spans="7:7" x14ac:dyDescent="0.25">
      <c r="G364" s="12"/>
    </row>
    <row r="365" spans="7:7" x14ac:dyDescent="0.25">
      <c r="G365" s="12"/>
    </row>
    <row r="366" spans="7:7" x14ac:dyDescent="0.25">
      <c r="G366" s="12"/>
    </row>
    <row r="367" spans="7:7" x14ac:dyDescent="0.25">
      <c r="G367" s="12"/>
    </row>
    <row r="368" spans="7:7" x14ac:dyDescent="0.25">
      <c r="G368" s="12"/>
    </row>
    <row r="369" spans="7:7" x14ac:dyDescent="0.25">
      <c r="G369" s="12"/>
    </row>
    <row r="370" spans="7:7" x14ac:dyDescent="0.25">
      <c r="G370" s="12"/>
    </row>
    <row r="371" spans="7:7" x14ac:dyDescent="0.25">
      <c r="G371" s="12"/>
    </row>
    <row r="372" spans="7:7" x14ac:dyDescent="0.25">
      <c r="G372" s="12"/>
    </row>
    <row r="373" spans="7:7" x14ac:dyDescent="0.25">
      <c r="G373" s="12"/>
    </row>
    <row r="374" spans="7:7" x14ac:dyDescent="0.25">
      <c r="G374" s="12"/>
    </row>
    <row r="375" spans="7:7" x14ac:dyDescent="0.25">
      <c r="G375" s="12"/>
    </row>
    <row r="376" spans="7:7" x14ac:dyDescent="0.25">
      <c r="G376" s="12"/>
    </row>
    <row r="377" spans="7:7" x14ac:dyDescent="0.25">
      <c r="G377" s="12"/>
    </row>
    <row r="378" spans="7:7" x14ac:dyDescent="0.25">
      <c r="G378" s="12"/>
    </row>
    <row r="379" spans="7:7" x14ac:dyDescent="0.25">
      <c r="G379" s="12"/>
    </row>
    <row r="380" spans="7:7" x14ac:dyDescent="0.25">
      <c r="G380" s="12"/>
    </row>
    <row r="381" spans="7:7" x14ac:dyDescent="0.25">
      <c r="G381" s="12"/>
    </row>
    <row r="382" spans="7:7" x14ac:dyDescent="0.25">
      <c r="G382" s="12"/>
    </row>
    <row r="383" spans="7:7" x14ac:dyDescent="0.25">
      <c r="G383" s="12"/>
    </row>
    <row r="384" spans="7:7" x14ac:dyDescent="0.25">
      <c r="G384" s="12"/>
    </row>
    <row r="385" spans="7:7" x14ac:dyDescent="0.25">
      <c r="G385" s="12"/>
    </row>
    <row r="386" spans="7:7" x14ac:dyDescent="0.25">
      <c r="G386" s="12"/>
    </row>
    <row r="387" spans="7:7" x14ac:dyDescent="0.25">
      <c r="G387" s="12"/>
    </row>
    <row r="388" spans="7:7" x14ac:dyDescent="0.25">
      <c r="G388" s="12"/>
    </row>
    <row r="389" spans="7:7" x14ac:dyDescent="0.25">
      <c r="G389" s="12"/>
    </row>
    <row r="390" spans="7:7" x14ac:dyDescent="0.25">
      <c r="G390" s="12"/>
    </row>
    <row r="391" spans="7:7" x14ac:dyDescent="0.25">
      <c r="G391" s="12"/>
    </row>
    <row r="392" spans="7:7" x14ac:dyDescent="0.25">
      <c r="G392" s="12"/>
    </row>
    <row r="393" spans="7:7" x14ac:dyDescent="0.25">
      <c r="G393" s="12"/>
    </row>
    <row r="394" spans="7:7" x14ac:dyDescent="0.25">
      <c r="G394" s="12"/>
    </row>
    <row r="395" spans="7:7" x14ac:dyDescent="0.25">
      <c r="G395" s="12"/>
    </row>
    <row r="396" spans="7:7" x14ac:dyDescent="0.25">
      <c r="G396" s="12"/>
    </row>
    <row r="397" spans="7:7" x14ac:dyDescent="0.25">
      <c r="G397" s="12"/>
    </row>
    <row r="398" spans="7:7" x14ac:dyDescent="0.25">
      <c r="G398" s="12"/>
    </row>
    <row r="399" spans="7:7" x14ac:dyDescent="0.25">
      <c r="G399" s="12"/>
    </row>
    <row r="400" spans="7:7" x14ac:dyDescent="0.25">
      <c r="G400" s="12"/>
    </row>
    <row r="401" spans="7:7" x14ac:dyDescent="0.25">
      <c r="G401" s="12"/>
    </row>
    <row r="402" spans="7:7" x14ac:dyDescent="0.25">
      <c r="G402" s="12"/>
    </row>
    <row r="403" spans="7:7" x14ac:dyDescent="0.25">
      <c r="G403" s="12"/>
    </row>
    <row r="404" spans="7:7" x14ac:dyDescent="0.25">
      <c r="G404" s="12"/>
    </row>
    <row r="405" spans="7:7" x14ac:dyDescent="0.25">
      <c r="G405" s="12"/>
    </row>
    <row r="406" spans="7:7" x14ac:dyDescent="0.25">
      <c r="G406" s="12"/>
    </row>
    <row r="407" spans="7:7" x14ac:dyDescent="0.25">
      <c r="G407" s="12"/>
    </row>
    <row r="408" spans="7:7" x14ac:dyDescent="0.25">
      <c r="G408" s="12"/>
    </row>
    <row r="409" spans="7:7" x14ac:dyDescent="0.25">
      <c r="G409" s="12"/>
    </row>
    <row r="410" spans="7:7" x14ac:dyDescent="0.25">
      <c r="G410" s="12"/>
    </row>
    <row r="411" spans="7:7" x14ac:dyDescent="0.25">
      <c r="G411" s="12"/>
    </row>
    <row r="412" spans="7:7" x14ac:dyDescent="0.25">
      <c r="G412" s="12"/>
    </row>
    <row r="413" spans="7:7" x14ac:dyDescent="0.25">
      <c r="G413" s="12"/>
    </row>
    <row r="414" spans="7:7" x14ac:dyDescent="0.25">
      <c r="G414" s="12"/>
    </row>
    <row r="415" spans="7:7" x14ac:dyDescent="0.25">
      <c r="G415" s="12"/>
    </row>
    <row r="416" spans="7:7" x14ac:dyDescent="0.25">
      <c r="G416" s="12"/>
    </row>
    <row r="417" spans="7:7" x14ac:dyDescent="0.25">
      <c r="G417" s="12"/>
    </row>
    <row r="418" spans="7:7" x14ac:dyDescent="0.25">
      <c r="G418" s="12"/>
    </row>
    <row r="419" spans="7:7" x14ac:dyDescent="0.25">
      <c r="G419" s="12"/>
    </row>
    <row r="420" spans="7:7" x14ac:dyDescent="0.25">
      <c r="G420" s="12"/>
    </row>
    <row r="421" spans="7:7" x14ac:dyDescent="0.25">
      <c r="G421" s="12"/>
    </row>
    <row r="422" spans="7:7" x14ac:dyDescent="0.25">
      <c r="G422" s="12"/>
    </row>
    <row r="423" spans="7:7" x14ac:dyDescent="0.25">
      <c r="G423" s="12"/>
    </row>
    <row r="424" spans="7:7" x14ac:dyDescent="0.25">
      <c r="G424" s="12"/>
    </row>
    <row r="425" spans="7:7" x14ac:dyDescent="0.25">
      <c r="G425" s="12"/>
    </row>
    <row r="426" spans="7:7" x14ac:dyDescent="0.25">
      <c r="G426" s="12"/>
    </row>
    <row r="427" spans="7:7" x14ac:dyDescent="0.25">
      <c r="G427" s="12"/>
    </row>
    <row r="428" spans="7:7" x14ac:dyDescent="0.25">
      <c r="G428" s="12"/>
    </row>
    <row r="429" spans="7:7" x14ac:dyDescent="0.25">
      <c r="G429" s="12"/>
    </row>
    <row r="430" spans="7:7" x14ac:dyDescent="0.25">
      <c r="G430" s="12"/>
    </row>
    <row r="431" spans="7:7" x14ac:dyDescent="0.25">
      <c r="G431" s="12"/>
    </row>
    <row r="432" spans="7:7" x14ac:dyDescent="0.25">
      <c r="G432" s="12"/>
    </row>
    <row r="433" spans="7:7" x14ac:dyDescent="0.25">
      <c r="G433" s="12"/>
    </row>
    <row r="434" spans="7:7" x14ac:dyDescent="0.25">
      <c r="G434" s="12"/>
    </row>
    <row r="435" spans="7:7" x14ac:dyDescent="0.25">
      <c r="G435" s="12"/>
    </row>
    <row r="436" spans="7:7" x14ac:dyDescent="0.25">
      <c r="G436" s="12"/>
    </row>
    <row r="437" spans="7:7" x14ac:dyDescent="0.25">
      <c r="G437" s="12"/>
    </row>
    <row r="438" spans="7:7" x14ac:dyDescent="0.25">
      <c r="G438" s="12"/>
    </row>
    <row r="439" spans="7:7" x14ac:dyDescent="0.25">
      <c r="G439" s="12"/>
    </row>
    <row r="440" spans="7:7" x14ac:dyDescent="0.25">
      <c r="G440" s="12"/>
    </row>
    <row r="441" spans="7:7" x14ac:dyDescent="0.25">
      <c r="G441" s="12"/>
    </row>
    <row r="442" spans="7:7" x14ac:dyDescent="0.25">
      <c r="G442" s="12"/>
    </row>
    <row r="443" spans="7:7" x14ac:dyDescent="0.25">
      <c r="G443" s="12"/>
    </row>
    <row r="444" spans="7:7" x14ac:dyDescent="0.25">
      <c r="G444" s="12"/>
    </row>
    <row r="445" spans="7:7" x14ac:dyDescent="0.25">
      <c r="G445" s="12"/>
    </row>
    <row r="446" spans="7:7" x14ac:dyDescent="0.25">
      <c r="G446" s="12"/>
    </row>
    <row r="447" spans="7:7" x14ac:dyDescent="0.25">
      <c r="G447" s="12"/>
    </row>
    <row r="448" spans="7:7" x14ac:dyDescent="0.25">
      <c r="G448" s="12"/>
    </row>
    <row r="449" spans="7:7" x14ac:dyDescent="0.25">
      <c r="G449" s="12"/>
    </row>
    <row r="450" spans="7:7" x14ac:dyDescent="0.25">
      <c r="G450" s="12"/>
    </row>
    <row r="451" spans="7:7" x14ac:dyDescent="0.25">
      <c r="G451" s="12"/>
    </row>
    <row r="452" spans="7:7" x14ac:dyDescent="0.25">
      <c r="G452" s="12"/>
    </row>
    <row r="453" spans="7:7" x14ac:dyDescent="0.25">
      <c r="G453" s="12"/>
    </row>
    <row r="454" spans="7:7" x14ac:dyDescent="0.25">
      <c r="G454" s="12"/>
    </row>
    <row r="455" spans="7:7" x14ac:dyDescent="0.25">
      <c r="G455" s="12"/>
    </row>
    <row r="456" spans="7:7" x14ac:dyDescent="0.25">
      <c r="G456" s="12"/>
    </row>
    <row r="457" spans="7:7" x14ac:dyDescent="0.25">
      <c r="G457" s="12"/>
    </row>
    <row r="458" spans="7:7" x14ac:dyDescent="0.25">
      <c r="G458" s="12"/>
    </row>
    <row r="459" spans="7:7" x14ac:dyDescent="0.25">
      <c r="G459" s="12"/>
    </row>
    <row r="460" spans="7:7" x14ac:dyDescent="0.25">
      <c r="G460" s="12"/>
    </row>
    <row r="461" spans="7:7" x14ac:dyDescent="0.25">
      <c r="G461" s="12"/>
    </row>
    <row r="462" spans="7:7" x14ac:dyDescent="0.25">
      <c r="G462" s="12"/>
    </row>
    <row r="463" spans="7:7" x14ac:dyDescent="0.25">
      <c r="G463" s="12"/>
    </row>
    <row r="464" spans="7:7" x14ac:dyDescent="0.25">
      <c r="G464" s="12"/>
    </row>
    <row r="465" spans="7:7" x14ac:dyDescent="0.25">
      <c r="G465" s="12"/>
    </row>
    <row r="466" spans="7:7" x14ac:dyDescent="0.25">
      <c r="G466" s="12"/>
    </row>
    <row r="467" spans="7:7" x14ac:dyDescent="0.25">
      <c r="G467" s="12"/>
    </row>
    <row r="468" spans="7:7" x14ac:dyDescent="0.25">
      <c r="G468" s="12"/>
    </row>
    <row r="469" spans="7:7" x14ac:dyDescent="0.25">
      <c r="G469" s="12"/>
    </row>
    <row r="470" spans="7:7" x14ac:dyDescent="0.25">
      <c r="G470" s="12"/>
    </row>
    <row r="471" spans="7:7" x14ac:dyDescent="0.25">
      <c r="G471" s="12"/>
    </row>
    <row r="472" spans="7:7" x14ac:dyDescent="0.25">
      <c r="G472" s="12"/>
    </row>
    <row r="473" spans="7:7" x14ac:dyDescent="0.25">
      <c r="G473" s="12"/>
    </row>
    <row r="474" spans="7:7" x14ac:dyDescent="0.25">
      <c r="G474" s="12"/>
    </row>
    <row r="475" spans="7:7" x14ac:dyDescent="0.25">
      <c r="G475" s="12"/>
    </row>
    <row r="476" spans="7:7" x14ac:dyDescent="0.25">
      <c r="G476" s="12"/>
    </row>
    <row r="477" spans="7:7" x14ac:dyDescent="0.25">
      <c r="G477" s="12"/>
    </row>
    <row r="478" spans="7:7" x14ac:dyDescent="0.25">
      <c r="G478" s="12"/>
    </row>
    <row r="479" spans="7:7" x14ac:dyDescent="0.25">
      <c r="G479" s="12"/>
    </row>
    <row r="480" spans="7:7" x14ac:dyDescent="0.25">
      <c r="G480" s="12"/>
    </row>
    <row r="481" spans="7:7" x14ac:dyDescent="0.25">
      <c r="G481" s="12"/>
    </row>
    <row r="482" spans="7:7" x14ac:dyDescent="0.25">
      <c r="G482" s="12"/>
    </row>
    <row r="483" spans="7:7" x14ac:dyDescent="0.25">
      <c r="G483" s="12"/>
    </row>
    <row r="484" spans="7:7" x14ac:dyDescent="0.25">
      <c r="G484" s="12"/>
    </row>
    <row r="485" spans="7:7" x14ac:dyDescent="0.25">
      <c r="G485" s="12"/>
    </row>
    <row r="486" spans="7:7" x14ac:dyDescent="0.25">
      <c r="G486" s="12"/>
    </row>
    <row r="487" spans="7:7" x14ac:dyDescent="0.25">
      <c r="G487" s="12"/>
    </row>
    <row r="488" spans="7:7" x14ac:dyDescent="0.25">
      <c r="G488" s="12"/>
    </row>
    <row r="489" spans="7:7" x14ac:dyDescent="0.25">
      <c r="G489" s="12"/>
    </row>
    <row r="490" spans="7:7" x14ac:dyDescent="0.25">
      <c r="G490" s="12"/>
    </row>
    <row r="491" spans="7:7" x14ac:dyDescent="0.25">
      <c r="G491" s="12"/>
    </row>
    <row r="492" spans="7:7" x14ac:dyDescent="0.25">
      <c r="G492" s="12"/>
    </row>
    <row r="493" spans="7:7" x14ac:dyDescent="0.25">
      <c r="G493" s="12"/>
    </row>
    <row r="494" spans="7:7" x14ac:dyDescent="0.25">
      <c r="G494" s="12"/>
    </row>
    <row r="495" spans="7:7" x14ac:dyDescent="0.25">
      <c r="G495" s="12"/>
    </row>
    <row r="496" spans="7:7" x14ac:dyDescent="0.25">
      <c r="G496" s="12"/>
    </row>
    <row r="497" spans="7:7" x14ac:dyDescent="0.25">
      <c r="G497" s="12"/>
    </row>
    <row r="498" spans="7:7" x14ac:dyDescent="0.25">
      <c r="G498" s="12"/>
    </row>
    <row r="499" spans="7:7" x14ac:dyDescent="0.25">
      <c r="G499" s="12"/>
    </row>
    <row r="500" spans="7:7" x14ac:dyDescent="0.25">
      <c r="G500" s="12"/>
    </row>
    <row r="501" spans="7:7" x14ac:dyDescent="0.25">
      <c r="G501" s="12"/>
    </row>
    <row r="502" spans="7:7" x14ac:dyDescent="0.25">
      <c r="G502" s="12"/>
    </row>
    <row r="503" spans="7:7" x14ac:dyDescent="0.25">
      <c r="G503" s="12"/>
    </row>
    <row r="504" spans="7:7" x14ac:dyDescent="0.25">
      <c r="G504" s="12"/>
    </row>
    <row r="505" spans="7:7" x14ac:dyDescent="0.25">
      <c r="G505" s="12"/>
    </row>
    <row r="506" spans="7:7" x14ac:dyDescent="0.25">
      <c r="G506" s="12"/>
    </row>
    <row r="507" spans="7:7" x14ac:dyDescent="0.25">
      <c r="G507" s="12"/>
    </row>
    <row r="508" spans="7:7" x14ac:dyDescent="0.25">
      <c r="G508" s="12"/>
    </row>
    <row r="509" spans="7:7" x14ac:dyDescent="0.25">
      <c r="G509" s="12"/>
    </row>
    <row r="510" spans="7:7" x14ac:dyDescent="0.25">
      <c r="G510" s="12"/>
    </row>
    <row r="511" spans="7:7" x14ac:dyDescent="0.25">
      <c r="G511" s="12"/>
    </row>
    <row r="512" spans="7:7" x14ac:dyDescent="0.25">
      <c r="G512" s="12"/>
    </row>
    <row r="513" spans="7:7" x14ac:dyDescent="0.25">
      <c r="G513" s="12"/>
    </row>
    <row r="514" spans="7:7" x14ac:dyDescent="0.25">
      <c r="G514" s="12"/>
    </row>
    <row r="515" spans="7:7" x14ac:dyDescent="0.25">
      <c r="G515" s="12"/>
    </row>
    <row r="516" spans="7:7" x14ac:dyDescent="0.25">
      <c r="G516" s="12"/>
    </row>
    <row r="517" spans="7:7" x14ac:dyDescent="0.25">
      <c r="G517" s="12"/>
    </row>
    <row r="518" spans="7:7" x14ac:dyDescent="0.25">
      <c r="G518" s="12"/>
    </row>
    <row r="519" spans="7:7" x14ac:dyDescent="0.25">
      <c r="G519" s="12"/>
    </row>
    <row r="520" spans="7:7" x14ac:dyDescent="0.25">
      <c r="G520" s="12"/>
    </row>
    <row r="521" spans="7:7" x14ac:dyDescent="0.25">
      <c r="G521" s="12"/>
    </row>
    <row r="522" spans="7:7" x14ac:dyDescent="0.25">
      <c r="G522" s="12"/>
    </row>
    <row r="523" spans="7:7" x14ac:dyDescent="0.25">
      <c r="G523" s="12"/>
    </row>
    <row r="524" spans="7:7" x14ac:dyDescent="0.25">
      <c r="G524" s="12"/>
    </row>
    <row r="525" spans="7:7" x14ac:dyDescent="0.25">
      <c r="G525" s="12"/>
    </row>
    <row r="526" spans="7:7" x14ac:dyDescent="0.25">
      <c r="G526" s="12"/>
    </row>
    <row r="527" spans="7:7" x14ac:dyDescent="0.25">
      <c r="G527" s="12"/>
    </row>
    <row r="528" spans="7:7" x14ac:dyDescent="0.25">
      <c r="G528" s="12"/>
    </row>
    <row r="529" spans="7:7" x14ac:dyDescent="0.25">
      <c r="G529" s="12"/>
    </row>
    <row r="530" spans="7:7" x14ac:dyDescent="0.25">
      <c r="G530" s="12"/>
    </row>
    <row r="531" spans="7:7" x14ac:dyDescent="0.25">
      <c r="G531" s="12"/>
    </row>
    <row r="532" spans="7:7" x14ac:dyDescent="0.25">
      <c r="G532" s="12"/>
    </row>
    <row r="533" spans="7:7" x14ac:dyDescent="0.25">
      <c r="G533" s="12"/>
    </row>
    <row r="534" spans="7:7" x14ac:dyDescent="0.25">
      <c r="G534" s="12"/>
    </row>
    <row r="535" spans="7:7" x14ac:dyDescent="0.25">
      <c r="G535" s="12"/>
    </row>
    <row r="536" spans="7:7" x14ac:dyDescent="0.25">
      <c r="G536" s="12"/>
    </row>
    <row r="537" spans="7:7" x14ac:dyDescent="0.25">
      <c r="G537" s="12"/>
    </row>
    <row r="538" spans="7:7" x14ac:dyDescent="0.25">
      <c r="G538" s="12"/>
    </row>
    <row r="539" spans="7:7" x14ac:dyDescent="0.25">
      <c r="G539" s="12"/>
    </row>
    <row r="540" spans="7:7" x14ac:dyDescent="0.25">
      <c r="G540" s="12"/>
    </row>
    <row r="541" spans="7:7" x14ac:dyDescent="0.25">
      <c r="G541" s="12"/>
    </row>
    <row r="542" spans="7:7" x14ac:dyDescent="0.25">
      <c r="G542" s="12"/>
    </row>
    <row r="543" spans="7:7" x14ac:dyDescent="0.25">
      <c r="G543" s="12"/>
    </row>
    <row r="544" spans="7:7" x14ac:dyDescent="0.25">
      <c r="G544" s="12"/>
    </row>
    <row r="545" spans="7:7" x14ac:dyDescent="0.25">
      <c r="G545" s="12"/>
    </row>
    <row r="546" spans="7:7" x14ac:dyDescent="0.25">
      <c r="G546" s="12"/>
    </row>
    <row r="547" spans="7:7" x14ac:dyDescent="0.25">
      <c r="G547" s="12"/>
    </row>
    <row r="548" spans="7:7" x14ac:dyDescent="0.25">
      <c r="G548" s="12"/>
    </row>
    <row r="549" spans="7:7" x14ac:dyDescent="0.25">
      <c r="G549" s="12"/>
    </row>
    <row r="550" spans="7:7" x14ac:dyDescent="0.25">
      <c r="G550" s="12"/>
    </row>
    <row r="551" spans="7:7" x14ac:dyDescent="0.25">
      <c r="G551" s="12"/>
    </row>
    <row r="552" spans="7:7" x14ac:dyDescent="0.25">
      <c r="G552" s="12"/>
    </row>
    <row r="553" spans="7:7" x14ac:dyDescent="0.25">
      <c r="G553" s="12"/>
    </row>
    <row r="554" spans="7:7" x14ac:dyDescent="0.25">
      <c r="G554" s="12"/>
    </row>
    <row r="555" spans="7:7" x14ac:dyDescent="0.25">
      <c r="G555" s="12"/>
    </row>
    <row r="556" spans="7:7" x14ac:dyDescent="0.25">
      <c r="G556" s="12"/>
    </row>
    <row r="557" spans="7:7" x14ac:dyDescent="0.25">
      <c r="G557" s="12"/>
    </row>
    <row r="558" spans="7:7" x14ac:dyDescent="0.25">
      <c r="G558" s="12"/>
    </row>
    <row r="559" spans="7:7" x14ac:dyDescent="0.25">
      <c r="G559" s="12"/>
    </row>
    <row r="560" spans="7:7" x14ac:dyDescent="0.25">
      <c r="G560" s="12"/>
    </row>
    <row r="561" spans="7:7" x14ac:dyDescent="0.25">
      <c r="G561" s="12"/>
    </row>
    <row r="562" spans="7:7" x14ac:dyDescent="0.25">
      <c r="G562" s="12"/>
    </row>
    <row r="563" spans="7:7" x14ac:dyDescent="0.25">
      <c r="G563" s="12"/>
    </row>
    <row r="564" spans="7:7" x14ac:dyDescent="0.25">
      <c r="G564" s="12"/>
    </row>
    <row r="565" spans="7:7" x14ac:dyDescent="0.25">
      <c r="G565" s="12"/>
    </row>
    <row r="566" spans="7:7" x14ac:dyDescent="0.25">
      <c r="G566" s="12"/>
    </row>
    <row r="567" spans="7:7" x14ac:dyDescent="0.25">
      <c r="G567" s="12"/>
    </row>
    <row r="568" spans="7:7" x14ac:dyDescent="0.25">
      <c r="G568" s="12"/>
    </row>
    <row r="569" spans="7:7" x14ac:dyDescent="0.25">
      <c r="G569" s="12"/>
    </row>
    <row r="570" spans="7:7" x14ac:dyDescent="0.25">
      <c r="G570" s="12"/>
    </row>
    <row r="571" spans="7:7" x14ac:dyDescent="0.25">
      <c r="G571" s="12"/>
    </row>
    <row r="572" spans="7:7" x14ac:dyDescent="0.25">
      <c r="G572" s="12"/>
    </row>
    <row r="573" spans="7:7" x14ac:dyDescent="0.25">
      <c r="G573" s="12"/>
    </row>
    <row r="574" spans="7:7" x14ac:dyDescent="0.25">
      <c r="G574" s="12"/>
    </row>
    <row r="575" spans="7:7" x14ac:dyDescent="0.25">
      <c r="G575" s="12"/>
    </row>
    <row r="576" spans="7:7" x14ac:dyDescent="0.25">
      <c r="G576" s="12"/>
    </row>
    <row r="577" spans="7:7" x14ac:dyDescent="0.25">
      <c r="G577" s="12"/>
    </row>
    <row r="578" spans="7:7" x14ac:dyDescent="0.25">
      <c r="G578" s="12"/>
    </row>
    <row r="579" spans="7:7" x14ac:dyDescent="0.25">
      <c r="G579" s="12"/>
    </row>
    <row r="580" spans="7:7" x14ac:dyDescent="0.25">
      <c r="G580" s="12"/>
    </row>
    <row r="581" spans="7:7" x14ac:dyDescent="0.25">
      <c r="G581" s="12"/>
    </row>
    <row r="582" spans="7:7" x14ac:dyDescent="0.25">
      <c r="G582" s="12"/>
    </row>
    <row r="583" spans="7:7" x14ac:dyDescent="0.25">
      <c r="G583" s="12"/>
    </row>
    <row r="584" spans="7:7" x14ac:dyDescent="0.25">
      <c r="G584" s="12"/>
    </row>
    <row r="585" spans="7:7" x14ac:dyDescent="0.25">
      <c r="G585" s="12"/>
    </row>
    <row r="586" spans="7:7" x14ac:dyDescent="0.25">
      <c r="G586" s="12"/>
    </row>
    <row r="587" spans="7:7" x14ac:dyDescent="0.25">
      <c r="G587" s="12"/>
    </row>
    <row r="588" spans="7:7" x14ac:dyDescent="0.25">
      <c r="G588" s="12"/>
    </row>
    <row r="589" spans="7:7" x14ac:dyDescent="0.25">
      <c r="G589" s="12"/>
    </row>
    <row r="590" spans="7:7" x14ac:dyDescent="0.25">
      <c r="G590" s="12"/>
    </row>
    <row r="591" spans="7:7" x14ac:dyDescent="0.25">
      <c r="G591" s="12"/>
    </row>
    <row r="592" spans="7:7" x14ac:dyDescent="0.25">
      <c r="G592" s="12"/>
    </row>
    <row r="593" spans="7:7" x14ac:dyDescent="0.25">
      <c r="G593" s="12"/>
    </row>
    <row r="594" spans="7:7" x14ac:dyDescent="0.25">
      <c r="G594" s="12"/>
    </row>
    <row r="595" spans="7:7" x14ac:dyDescent="0.25">
      <c r="G595" s="12"/>
    </row>
    <row r="596" spans="7:7" x14ac:dyDescent="0.25">
      <c r="G596" s="12"/>
    </row>
    <row r="597" spans="7:7" x14ac:dyDescent="0.25">
      <c r="G597" s="12"/>
    </row>
    <row r="598" spans="7:7" x14ac:dyDescent="0.25">
      <c r="G598" s="12"/>
    </row>
    <row r="599" spans="7:7" x14ac:dyDescent="0.25">
      <c r="G599" s="12"/>
    </row>
    <row r="600" spans="7:7" x14ac:dyDescent="0.25">
      <c r="G600" s="12"/>
    </row>
    <row r="601" spans="7:7" x14ac:dyDescent="0.25">
      <c r="G601" s="12"/>
    </row>
    <row r="602" spans="7:7" x14ac:dyDescent="0.25">
      <c r="G602" s="12"/>
    </row>
    <row r="603" spans="7:7" x14ac:dyDescent="0.25">
      <c r="G603" s="12"/>
    </row>
    <row r="604" spans="7:7" x14ac:dyDescent="0.25">
      <c r="G604" s="12"/>
    </row>
    <row r="605" spans="7:7" x14ac:dyDescent="0.25">
      <c r="G605" s="12"/>
    </row>
    <row r="606" spans="7:7" x14ac:dyDescent="0.25">
      <c r="G606" s="12"/>
    </row>
    <row r="607" spans="7:7" x14ac:dyDescent="0.25">
      <c r="G607" s="12"/>
    </row>
    <row r="608" spans="7:7" x14ac:dyDescent="0.25">
      <c r="G608" s="12"/>
    </row>
    <row r="609" spans="7:7" x14ac:dyDescent="0.25">
      <c r="G609" s="12"/>
    </row>
    <row r="610" spans="7:7" x14ac:dyDescent="0.25">
      <c r="G610" s="12"/>
    </row>
    <row r="611" spans="7:7" x14ac:dyDescent="0.25">
      <c r="G611" s="12"/>
    </row>
    <row r="612" spans="7:7" x14ac:dyDescent="0.25">
      <c r="G612" s="12"/>
    </row>
    <row r="613" spans="7:7" x14ac:dyDescent="0.25">
      <c r="G613" s="12"/>
    </row>
    <row r="614" spans="7:7" x14ac:dyDescent="0.25">
      <c r="G614" s="12"/>
    </row>
    <row r="615" spans="7:7" x14ac:dyDescent="0.25">
      <c r="G615" s="12"/>
    </row>
    <row r="616" spans="7:7" x14ac:dyDescent="0.25">
      <c r="G616" s="12"/>
    </row>
    <row r="617" spans="7:7" x14ac:dyDescent="0.25">
      <c r="G617" s="12"/>
    </row>
    <row r="618" spans="7:7" x14ac:dyDescent="0.25">
      <c r="G618" s="12"/>
    </row>
    <row r="619" spans="7:7" x14ac:dyDescent="0.25">
      <c r="G619" s="12"/>
    </row>
    <row r="620" spans="7:7" x14ac:dyDescent="0.25">
      <c r="G620" s="12"/>
    </row>
    <row r="621" spans="7:7" x14ac:dyDescent="0.25">
      <c r="G621" s="12"/>
    </row>
    <row r="622" spans="7:7" x14ac:dyDescent="0.25">
      <c r="G622" s="12"/>
    </row>
    <row r="623" spans="7:7" x14ac:dyDescent="0.25">
      <c r="G623" s="12"/>
    </row>
    <row r="624" spans="7:7" x14ac:dyDescent="0.25">
      <c r="G624" s="12"/>
    </row>
    <row r="625" spans="7:7" x14ac:dyDescent="0.25">
      <c r="G625" s="12"/>
    </row>
    <row r="626" spans="7:7" x14ac:dyDescent="0.25">
      <c r="G626" s="12"/>
    </row>
    <row r="627" spans="7:7" x14ac:dyDescent="0.25">
      <c r="G627" s="12"/>
    </row>
    <row r="628" spans="7:7" x14ac:dyDescent="0.25">
      <c r="G628" s="12"/>
    </row>
    <row r="629" spans="7:7" x14ac:dyDescent="0.25">
      <c r="G629" s="12"/>
    </row>
    <row r="630" spans="7:7" x14ac:dyDescent="0.25">
      <c r="G630" s="12"/>
    </row>
    <row r="631" spans="7:7" x14ac:dyDescent="0.25">
      <c r="G631" s="12"/>
    </row>
    <row r="632" spans="7:7" x14ac:dyDescent="0.25">
      <c r="G632" s="12"/>
    </row>
    <row r="633" spans="7:7" x14ac:dyDescent="0.25">
      <c r="G633" s="12"/>
    </row>
    <row r="634" spans="7:7" x14ac:dyDescent="0.25">
      <c r="G634" s="12"/>
    </row>
    <row r="635" spans="7:7" x14ac:dyDescent="0.25">
      <c r="G635" s="12"/>
    </row>
    <row r="636" spans="7:7" x14ac:dyDescent="0.25">
      <c r="G636" s="12"/>
    </row>
    <row r="637" spans="7:7" x14ac:dyDescent="0.25">
      <c r="G637" s="12"/>
    </row>
    <row r="638" spans="7:7" x14ac:dyDescent="0.25">
      <c r="G638" s="12"/>
    </row>
    <row r="639" spans="7:7" x14ac:dyDescent="0.25">
      <c r="G639" s="12"/>
    </row>
    <row r="640" spans="7:7" x14ac:dyDescent="0.25">
      <c r="G640" s="12"/>
    </row>
    <row r="641" spans="7:7" x14ac:dyDescent="0.25">
      <c r="G641" s="12"/>
    </row>
    <row r="642" spans="7:7" x14ac:dyDescent="0.25">
      <c r="G642" s="12"/>
    </row>
    <row r="643" spans="7:7" x14ac:dyDescent="0.25">
      <c r="G643" s="12"/>
    </row>
    <row r="644" spans="7:7" x14ac:dyDescent="0.25">
      <c r="G644" s="12"/>
    </row>
    <row r="645" spans="7:7" x14ac:dyDescent="0.25">
      <c r="G645" s="12"/>
    </row>
    <row r="646" spans="7:7" x14ac:dyDescent="0.25">
      <c r="G646" s="12"/>
    </row>
    <row r="647" spans="7:7" x14ac:dyDescent="0.25">
      <c r="G647" s="12"/>
    </row>
    <row r="648" spans="7:7" x14ac:dyDescent="0.25">
      <c r="G648" s="12"/>
    </row>
    <row r="649" spans="7:7" x14ac:dyDescent="0.25">
      <c r="G649" s="12"/>
    </row>
    <row r="650" spans="7:7" x14ac:dyDescent="0.25">
      <c r="G650" s="12"/>
    </row>
    <row r="651" spans="7:7" x14ac:dyDescent="0.25">
      <c r="G651" s="12"/>
    </row>
    <row r="652" spans="7:7" x14ac:dyDescent="0.25">
      <c r="G652" s="12"/>
    </row>
    <row r="653" spans="7:7" x14ac:dyDescent="0.25">
      <c r="G653" s="12"/>
    </row>
    <row r="654" spans="7:7" x14ac:dyDescent="0.25">
      <c r="G654" s="12"/>
    </row>
    <row r="655" spans="7:7" x14ac:dyDescent="0.25">
      <c r="G655" s="12"/>
    </row>
    <row r="656" spans="7:7" x14ac:dyDescent="0.25">
      <c r="G656" s="12"/>
    </row>
    <row r="657" spans="7:7" x14ac:dyDescent="0.25">
      <c r="G657" s="12"/>
    </row>
    <row r="658" spans="7:7" x14ac:dyDescent="0.25">
      <c r="G658" s="12"/>
    </row>
    <row r="659" spans="7:7" x14ac:dyDescent="0.25">
      <c r="G659" s="12"/>
    </row>
    <row r="660" spans="7:7" x14ac:dyDescent="0.25">
      <c r="G660" s="12"/>
    </row>
    <row r="661" spans="7:7" x14ac:dyDescent="0.25">
      <c r="G661" s="12"/>
    </row>
    <row r="662" spans="7:7" x14ac:dyDescent="0.25">
      <c r="G662" s="12"/>
    </row>
    <row r="663" spans="7:7" x14ac:dyDescent="0.25">
      <c r="G663" s="12"/>
    </row>
    <row r="664" spans="7:7" x14ac:dyDescent="0.25">
      <c r="G664" s="12"/>
    </row>
    <row r="665" spans="7:7" x14ac:dyDescent="0.25">
      <c r="G665" s="12"/>
    </row>
    <row r="666" spans="7:7" x14ac:dyDescent="0.25">
      <c r="G666" s="12"/>
    </row>
    <row r="667" spans="7:7" x14ac:dyDescent="0.25">
      <c r="G667" s="12"/>
    </row>
    <row r="668" spans="7:7" x14ac:dyDescent="0.25">
      <c r="G668" s="12"/>
    </row>
    <row r="669" spans="7:7" x14ac:dyDescent="0.25">
      <c r="G669" s="12"/>
    </row>
    <row r="670" spans="7:7" x14ac:dyDescent="0.25">
      <c r="G670" s="12"/>
    </row>
    <row r="671" spans="7:7" x14ac:dyDescent="0.25">
      <c r="G671" s="12"/>
    </row>
    <row r="672" spans="7:7" x14ac:dyDescent="0.25">
      <c r="G672" s="12"/>
    </row>
    <row r="673" spans="7:7" x14ac:dyDescent="0.25">
      <c r="G673" s="12"/>
    </row>
    <row r="674" spans="7:7" x14ac:dyDescent="0.25">
      <c r="G674" s="12"/>
    </row>
    <row r="675" spans="7:7" x14ac:dyDescent="0.25">
      <c r="G675" s="12"/>
    </row>
    <row r="676" spans="7:7" x14ac:dyDescent="0.25">
      <c r="G676" s="12"/>
    </row>
    <row r="677" spans="7:7" x14ac:dyDescent="0.25">
      <c r="G677" s="12"/>
    </row>
    <row r="678" spans="7:7" x14ac:dyDescent="0.25">
      <c r="G678" s="12"/>
    </row>
    <row r="679" spans="7:7" x14ac:dyDescent="0.25">
      <c r="G679" s="12"/>
    </row>
    <row r="680" spans="7:7" x14ac:dyDescent="0.25">
      <c r="G680" s="12"/>
    </row>
    <row r="681" spans="7:7" x14ac:dyDescent="0.25">
      <c r="G681" s="12"/>
    </row>
    <row r="682" spans="7:7" x14ac:dyDescent="0.25">
      <c r="G682" s="12"/>
    </row>
    <row r="683" spans="7:7" x14ac:dyDescent="0.25">
      <c r="G683" s="12"/>
    </row>
    <row r="684" spans="7:7" x14ac:dyDescent="0.25">
      <c r="G684" s="12"/>
    </row>
    <row r="685" spans="7:7" x14ac:dyDescent="0.25">
      <c r="G685" s="12"/>
    </row>
    <row r="686" spans="7:7" x14ac:dyDescent="0.25">
      <c r="G686" s="12"/>
    </row>
    <row r="687" spans="7:7" x14ac:dyDescent="0.25">
      <c r="G687" s="12"/>
    </row>
    <row r="688" spans="7:7" x14ac:dyDescent="0.25">
      <c r="G688" s="12"/>
    </row>
    <row r="689" spans="7:7" x14ac:dyDescent="0.25">
      <c r="G689" s="12"/>
    </row>
    <row r="690" spans="7:7" x14ac:dyDescent="0.25">
      <c r="G690" s="12"/>
    </row>
    <row r="691" spans="7:7" x14ac:dyDescent="0.25">
      <c r="G691" s="12"/>
    </row>
    <row r="692" spans="7:7" x14ac:dyDescent="0.25">
      <c r="G692" s="12"/>
    </row>
    <row r="693" spans="7:7" x14ac:dyDescent="0.25">
      <c r="G693" s="12"/>
    </row>
    <row r="694" spans="7:7" x14ac:dyDescent="0.25">
      <c r="G694" s="12"/>
    </row>
    <row r="695" spans="7:7" x14ac:dyDescent="0.25">
      <c r="G695" s="12"/>
    </row>
    <row r="696" spans="7:7" x14ac:dyDescent="0.25">
      <c r="G696" s="12"/>
    </row>
    <row r="697" spans="7:7" x14ac:dyDescent="0.25">
      <c r="G697" s="12"/>
    </row>
    <row r="698" spans="7:7" x14ac:dyDescent="0.25">
      <c r="G698" s="12"/>
    </row>
    <row r="699" spans="7:7" x14ac:dyDescent="0.25">
      <c r="G699" s="12"/>
    </row>
    <row r="700" spans="7:7" x14ac:dyDescent="0.25">
      <c r="G700" s="12"/>
    </row>
    <row r="701" spans="7:7" x14ac:dyDescent="0.25">
      <c r="G701" s="12"/>
    </row>
    <row r="702" spans="7:7" x14ac:dyDescent="0.25">
      <c r="G702" s="12"/>
    </row>
    <row r="703" spans="7:7" x14ac:dyDescent="0.25">
      <c r="G703" s="12"/>
    </row>
    <row r="704" spans="7:7" x14ac:dyDescent="0.25">
      <c r="G704" s="12"/>
    </row>
    <row r="705" spans="7:7" x14ac:dyDescent="0.25">
      <c r="G705" s="12"/>
    </row>
    <row r="706" spans="7:7" x14ac:dyDescent="0.25">
      <c r="G706" s="12"/>
    </row>
    <row r="707" spans="7:7" x14ac:dyDescent="0.25">
      <c r="G707" s="12"/>
    </row>
    <row r="708" spans="7:7" x14ac:dyDescent="0.25">
      <c r="G708" s="12"/>
    </row>
    <row r="709" spans="7:7" x14ac:dyDescent="0.25">
      <c r="G709" s="12"/>
    </row>
    <row r="710" spans="7:7" x14ac:dyDescent="0.25">
      <c r="G710" s="12"/>
    </row>
    <row r="711" spans="7:7" x14ac:dyDescent="0.25">
      <c r="G711" s="12"/>
    </row>
    <row r="712" spans="7:7" x14ac:dyDescent="0.25">
      <c r="G712" s="12"/>
    </row>
    <row r="713" spans="7:7" x14ac:dyDescent="0.25">
      <c r="G713" s="12"/>
    </row>
    <row r="714" spans="7:7" x14ac:dyDescent="0.25">
      <c r="G714" s="12"/>
    </row>
    <row r="715" spans="7:7" x14ac:dyDescent="0.25">
      <c r="G715" s="12"/>
    </row>
    <row r="716" spans="7:7" x14ac:dyDescent="0.25">
      <c r="G716" s="12"/>
    </row>
    <row r="717" spans="7:7" x14ac:dyDescent="0.25">
      <c r="G717" s="12"/>
    </row>
    <row r="718" spans="7:7" x14ac:dyDescent="0.25">
      <c r="G718" s="12"/>
    </row>
    <row r="719" spans="7:7" x14ac:dyDescent="0.25">
      <c r="G719" s="12"/>
    </row>
    <row r="720" spans="7:7" x14ac:dyDescent="0.25">
      <c r="G720" s="12"/>
    </row>
    <row r="721" spans="7:7" x14ac:dyDescent="0.25">
      <c r="G721" s="12"/>
    </row>
    <row r="722" spans="7:7" x14ac:dyDescent="0.25">
      <c r="G722" s="12"/>
    </row>
    <row r="723" spans="7:7" x14ac:dyDescent="0.25">
      <c r="G723" s="12"/>
    </row>
    <row r="724" spans="7:7" x14ac:dyDescent="0.25">
      <c r="G724" s="12"/>
    </row>
    <row r="725" spans="7:7" x14ac:dyDescent="0.25">
      <c r="G725" s="12"/>
    </row>
    <row r="726" spans="7:7" x14ac:dyDescent="0.25">
      <c r="G726" s="12"/>
    </row>
    <row r="727" spans="7:7" x14ac:dyDescent="0.25">
      <c r="G727" s="12"/>
    </row>
    <row r="728" spans="7:7" x14ac:dyDescent="0.25">
      <c r="G728" s="12"/>
    </row>
    <row r="729" spans="7:7" x14ac:dyDescent="0.25">
      <c r="G729" s="12"/>
    </row>
    <row r="730" spans="7:7" x14ac:dyDescent="0.25">
      <c r="G730" s="12"/>
    </row>
    <row r="731" spans="7:7" x14ac:dyDescent="0.25">
      <c r="G731" s="12"/>
    </row>
    <row r="732" spans="7:7" x14ac:dyDescent="0.25">
      <c r="G732" s="12"/>
    </row>
    <row r="733" spans="7:7" x14ac:dyDescent="0.25">
      <c r="G733" s="12"/>
    </row>
    <row r="734" spans="7:7" x14ac:dyDescent="0.25">
      <c r="G734" s="12"/>
    </row>
    <row r="735" spans="7:7" x14ac:dyDescent="0.25">
      <c r="G735" s="12"/>
    </row>
    <row r="736" spans="7:7" x14ac:dyDescent="0.25">
      <c r="G736" s="12"/>
    </row>
    <row r="737" spans="7:7" x14ac:dyDescent="0.25">
      <c r="G737" s="12"/>
    </row>
    <row r="738" spans="7:7" x14ac:dyDescent="0.25">
      <c r="G738" s="12"/>
    </row>
    <row r="739" spans="7:7" x14ac:dyDescent="0.25">
      <c r="G739" s="12"/>
    </row>
    <row r="740" spans="7:7" x14ac:dyDescent="0.25">
      <c r="G740" s="12"/>
    </row>
    <row r="741" spans="7:7" x14ac:dyDescent="0.25">
      <c r="G741" s="12"/>
    </row>
    <row r="742" spans="7:7" x14ac:dyDescent="0.25">
      <c r="G742" s="12"/>
    </row>
    <row r="743" spans="7:7" x14ac:dyDescent="0.25">
      <c r="G743" s="12"/>
    </row>
    <row r="744" spans="7:7" x14ac:dyDescent="0.25">
      <c r="G744" s="12"/>
    </row>
    <row r="745" spans="7:7" x14ac:dyDescent="0.25">
      <c r="G745" s="12"/>
    </row>
    <row r="746" spans="7:7" x14ac:dyDescent="0.25">
      <c r="G746" s="12"/>
    </row>
    <row r="747" spans="7:7" x14ac:dyDescent="0.25">
      <c r="G747" s="12"/>
    </row>
    <row r="748" spans="7:7" x14ac:dyDescent="0.25">
      <c r="G748" s="12"/>
    </row>
    <row r="749" spans="7:7" x14ac:dyDescent="0.25">
      <c r="G749" s="12"/>
    </row>
    <row r="750" spans="7:7" x14ac:dyDescent="0.25">
      <c r="G750" s="12"/>
    </row>
    <row r="751" spans="7:7" x14ac:dyDescent="0.25">
      <c r="G751" s="12"/>
    </row>
    <row r="752" spans="7:7" x14ac:dyDescent="0.25">
      <c r="G752" s="12"/>
    </row>
    <row r="753" spans="7:7" x14ac:dyDescent="0.25">
      <c r="G753" s="12"/>
    </row>
    <row r="754" spans="7:7" x14ac:dyDescent="0.25">
      <c r="G754" s="12"/>
    </row>
    <row r="755" spans="7:7" x14ac:dyDescent="0.25">
      <c r="G755" s="12"/>
    </row>
    <row r="756" spans="7:7" x14ac:dyDescent="0.25">
      <c r="G756" s="12"/>
    </row>
    <row r="757" spans="7:7" x14ac:dyDescent="0.25">
      <c r="G757" s="12"/>
    </row>
    <row r="758" spans="7:7" x14ac:dyDescent="0.25">
      <c r="G758" s="12"/>
    </row>
    <row r="759" spans="7:7" x14ac:dyDescent="0.25">
      <c r="G759" s="12"/>
    </row>
    <row r="760" spans="7:7" x14ac:dyDescent="0.25">
      <c r="G760" s="12"/>
    </row>
    <row r="761" spans="7:7" x14ac:dyDescent="0.25">
      <c r="G761" s="12"/>
    </row>
    <row r="762" spans="7:7" x14ac:dyDescent="0.25">
      <c r="G762" s="12"/>
    </row>
    <row r="763" spans="7:7" x14ac:dyDescent="0.25">
      <c r="G763" s="12"/>
    </row>
    <row r="764" spans="7:7" x14ac:dyDescent="0.25">
      <c r="G764" s="12"/>
    </row>
    <row r="765" spans="7:7" x14ac:dyDescent="0.25">
      <c r="G765" s="12"/>
    </row>
    <row r="766" spans="7:7" x14ac:dyDescent="0.25">
      <c r="G766" s="12"/>
    </row>
    <row r="767" spans="7:7" x14ac:dyDescent="0.25">
      <c r="G767" s="12"/>
    </row>
    <row r="768" spans="7:7" x14ac:dyDescent="0.25">
      <c r="G768" s="12"/>
    </row>
    <row r="769" spans="7:7" x14ac:dyDescent="0.25">
      <c r="G769" s="12"/>
    </row>
    <row r="770" spans="7:7" x14ac:dyDescent="0.25">
      <c r="G770" s="12"/>
    </row>
    <row r="771" spans="7:7" x14ac:dyDescent="0.25">
      <c r="G771" s="12"/>
    </row>
    <row r="772" spans="7:7" x14ac:dyDescent="0.25">
      <c r="G772" s="12"/>
    </row>
    <row r="773" spans="7:7" x14ac:dyDescent="0.25">
      <c r="G773" s="12"/>
    </row>
    <row r="774" spans="7:7" x14ac:dyDescent="0.25">
      <c r="G774" s="12"/>
    </row>
    <row r="775" spans="7:7" x14ac:dyDescent="0.25">
      <c r="G775" s="12"/>
    </row>
    <row r="776" spans="7:7" x14ac:dyDescent="0.25">
      <c r="G776" s="12"/>
    </row>
    <row r="777" spans="7:7" x14ac:dyDescent="0.25">
      <c r="G777" s="12"/>
    </row>
    <row r="778" spans="7:7" x14ac:dyDescent="0.25">
      <c r="G778" s="12"/>
    </row>
    <row r="779" spans="7:7" x14ac:dyDescent="0.25">
      <c r="G779" s="12"/>
    </row>
    <row r="780" spans="7:7" x14ac:dyDescent="0.25">
      <c r="G780" s="12"/>
    </row>
    <row r="781" spans="7:7" x14ac:dyDescent="0.25">
      <c r="G781" s="12"/>
    </row>
    <row r="782" spans="7:7" x14ac:dyDescent="0.25">
      <c r="G782" s="12"/>
    </row>
    <row r="783" spans="7:7" x14ac:dyDescent="0.25">
      <c r="G783" s="12"/>
    </row>
    <row r="784" spans="7:7" x14ac:dyDescent="0.25">
      <c r="G784" s="12"/>
    </row>
    <row r="785" spans="7:7" x14ac:dyDescent="0.25">
      <c r="G785" s="12"/>
    </row>
    <row r="786" spans="7:7" x14ac:dyDescent="0.25">
      <c r="G786" s="12"/>
    </row>
    <row r="787" spans="7:7" x14ac:dyDescent="0.25">
      <c r="G787" s="12"/>
    </row>
    <row r="788" spans="7:7" x14ac:dyDescent="0.25">
      <c r="G788" s="12"/>
    </row>
    <row r="789" spans="7:7" x14ac:dyDescent="0.25">
      <c r="G789" s="12"/>
    </row>
    <row r="790" spans="7:7" x14ac:dyDescent="0.25">
      <c r="G790" s="12"/>
    </row>
    <row r="791" spans="7:7" x14ac:dyDescent="0.25">
      <c r="G791" s="12"/>
    </row>
    <row r="792" spans="7:7" x14ac:dyDescent="0.25">
      <c r="G792" s="12"/>
    </row>
    <row r="793" spans="7:7" x14ac:dyDescent="0.25">
      <c r="G793" s="12"/>
    </row>
    <row r="794" spans="7:7" x14ac:dyDescent="0.25">
      <c r="G794" s="12"/>
    </row>
    <row r="795" spans="7:7" x14ac:dyDescent="0.25">
      <c r="G795" s="12"/>
    </row>
    <row r="796" spans="7:7" x14ac:dyDescent="0.25">
      <c r="G796" s="12"/>
    </row>
    <row r="797" spans="7:7" x14ac:dyDescent="0.25">
      <c r="G797" s="12"/>
    </row>
    <row r="798" spans="7:7" x14ac:dyDescent="0.25">
      <c r="G798" s="12"/>
    </row>
    <row r="799" spans="7:7" x14ac:dyDescent="0.25">
      <c r="G799" s="12"/>
    </row>
    <row r="800" spans="7:7" x14ac:dyDescent="0.25">
      <c r="G800" s="12"/>
    </row>
    <row r="801" spans="7:7" x14ac:dyDescent="0.25">
      <c r="G801" s="12"/>
    </row>
    <row r="802" spans="7:7" x14ac:dyDescent="0.25">
      <c r="G802" s="12"/>
    </row>
    <row r="803" spans="7:7" x14ac:dyDescent="0.25">
      <c r="G803" s="12"/>
    </row>
    <row r="804" spans="7:7" x14ac:dyDescent="0.25">
      <c r="G804" s="12"/>
    </row>
    <row r="805" spans="7:7" x14ac:dyDescent="0.25">
      <c r="G805" s="12"/>
    </row>
    <row r="806" spans="7:7" x14ac:dyDescent="0.25">
      <c r="G806" s="12"/>
    </row>
    <row r="807" spans="7:7" x14ac:dyDescent="0.25">
      <c r="G807" s="12"/>
    </row>
    <row r="808" spans="7:7" x14ac:dyDescent="0.25">
      <c r="G808" s="12"/>
    </row>
    <row r="809" spans="7:7" x14ac:dyDescent="0.25">
      <c r="G809" s="12"/>
    </row>
    <row r="810" spans="7:7" x14ac:dyDescent="0.25">
      <c r="G810" s="12"/>
    </row>
    <row r="811" spans="7:7" x14ac:dyDescent="0.25">
      <c r="G811" s="12"/>
    </row>
    <row r="812" spans="7:7" x14ac:dyDescent="0.25">
      <c r="G812" s="12"/>
    </row>
    <row r="813" spans="7:7" x14ac:dyDescent="0.25">
      <c r="G813" s="12"/>
    </row>
    <row r="814" spans="7:7" x14ac:dyDescent="0.25">
      <c r="G814" s="12"/>
    </row>
    <row r="815" spans="7:7" x14ac:dyDescent="0.25">
      <c r="G815" s="12"/>
    </row>
    <row r="816" spans="7:7" x14ac:dyDescent="0.25">
      <c r="G816" s="12"/>
    </row>
    <row r="817" spans="7:7" x14ac:dyDescent="0.25">
      <c r="G817" s="12"/>
    </row>
    <row r="818" spans="7:7" x14ac:dyDescent="0.25">
      <c r="G818" s="12"/>
    </row>
    <row r="819" spans="7:7" x14ac:dyDescent="0.25">
      <c r="G819" s="12"/>
    </row>
    <row r="820" spans="7:7" x14ac:dyDescent="0.25">
      <c r="G820" s="12"/>
    </row>
    <row r="821" spans="7:7" x14ac:dyDescent="0.25">
      <c r="G821" s="12"/>
    </row>
    <row r="822" spans="7:7" x14ac:dyDescent="0.25">
      <c r="G822" s="12"/>
    </row>
    <row r="823" spans="7:7" x14ac:dyDescent="0.25">
      <c r="G823" s="12"/>
    </row>
    <row r="824" spans="7:7" x14ac:dyDescent="0.25">
      <c r="G824" s="12"/>
    </row>
    <row r="825" spans="7:7" x14ac:dyDescent="0.25">
      <c r="G825" s="12"/>
    </row>
    <row r="826" spans="7:7" x14ac:dyDescent="0.25">
      <c r="G826" s="12"/>
    </row>
    <row r="827" spans="7:7" x14ac:dyDescent="0.25">
      <c r="G827" s="12"/>
    </row>
    <row r="828" spans="7:7" x14ac:dyDescent="0.25">
      <c r="G828" s="12"/>
    </row>
    <row r="829" spans="7:7" x14ac:dyDescent="0.25">
      <c r="G829" s="12"/>
    </row>
    <row r="830" spans="7:7" x14ac:dyDescent="0.25">
      <c r="G830" s="12"/>
    </row>
    <row r="831" spans="7:7" x14ac:dyDescent="0.25">
      <c r="G831" s="12"/>
    </row>
    <row r="832" spans="7:7" x14ac:dyDescent="0.25">
      <c r="G832" s="12"/>
    </row>
    <row r="833" spans="7:7" x14ac:dyDescent="0.25">
      <c r="G833" s="12"/>
    </row>
    <row r="834" spans="7:7" x14ac:dyDescent="0.25">
      <c r="G834" s="12"/>
    </row>
    <row r="835" spans="7:7" x14ac:dyDescent="0.25">
      <c r="G835" s="12"/>
    </row>
    <row r="836" spans="7:7" x14ac:dyDescent="0.25">
      <c r="G836" s="12"/>
    </row>
    <row r="837" spans="7:7" x14ac:dyDescent="0.25">
      <c r="G837" s="12"/>
    </row>
    <row r="838" spans="7:7" x14ac:dyDescent="0.25">
      <c r="G838" s="12"/>
    </row>
    <row r="839" spans="7:7" x14ac:dyDescent="0.25">
      <c r="G839" s="12"/>
    </row>
    <row r="840" spans="7:7" x14ac:dyDescent="0.25">
      <c r="G840" s="12"/>
    </row>
    <row r="841" spans="7:7" x14ac:dyDescent="0.25">
      <c r="G841" s="12"/>
    </row>
    <row r="842" spans="7:7" x14ac:dyDescent="0.25">
      <c r="G842" s="12"/>
    </row>
    <row r="843" spans="7:7" x14ac:dyDescent="0.25">
      <c r="G843" s="12"/>
    </row>
    <row r="844" spans="7:7" x14ac:dyDescent="0.25">
      <c r="G844" s="12"/>
    </row>
    <row r="845" spans="7:7" x14ac:dyDescent="0.25">
      <c r="G845" s="12"/>
    </row>
    <row r="846" spans="7:7" x14ac:dyDescent="0.25">
      <c r="G846" s="12"/>
    </row>
    <row r="847" spans="7:7" x14ac:dyDescent="0.25">
      <c r="G847" s="12"/>
    </row>
    <row r="848" spans="7:7" x14ac:dyDescent="0.25">
      <c r="G848" s="12"/>
    </row>
    <row r="849" spans="7:7" x14ac:dyDescent="0.25">
      <c r="G849" s="12"/>
    </row>
    <row r="850" spans="7:7" x14ac:dyDescent="0.25">
      <c r="G850" s="12"/>
    </row>
    <row r="851" spans="7:7" x14ac:dyDescent="0.25">
      <c r="G851" s="12"/>
    </row>
    <row r="852" spans="7:7" x14ac:dyDescent="0.25">
      <c r="G852" s="12"/>
    </row>
    <row r="853" spans="7:7" x14ac:dyDescent="0.25">
      <c r="G853" s="12"/>
    </row>
    <row r="854" spans="7:7" x14ac:dyDescent="0.25">
      <c r="G854" s="12"/>
    </row>
    <row r="855" spans="7:7" x14ac:dyDescent="0.25">
      <c r="G855" s="12"/>
    </row>
    <row r="856" spans="7:7" x14ac:dyDescent="0.25">
      <c r="G856" s="12"/>
    </row>
    <row r="857" spans="7:7" x14ac:dyDescent="0.25">
      <c r="G857" s="12"/>
    </row>
    <row r="858" spans="7:7" x14ac:dyDescent="0.25">
      <c r="G858" s="12"/>
    </row>
    <row r="859" spans="7:7" x14ac:dyDescent="0.25">
      <c r="G859" s="12"/>
    </row>
    <row r="860" spans="7:7" x14ac:dyDescent="0.25">
      <c r="G860" s="12"/>
    </row>
    <row r="861" spans="7:7" x14ac:dyDescent="0.25">
      <c r="G861" s="12"/>
    </row>
    <row r="862" spans="7:7" x14ac:dyDescent="0.25">
      <c r="G862" s="12"/>
    </row>
    <row r="863" spans="7:7" x14ac:dyDescent="0.25">
      <c r="G863" s="12"/>
    </row>
    <row r="864" spans="7:7" x14ac:dyDescent="0.25">
      <c r="G864" s="12"/>
    </row>
    <row r="865" spans="7:7" x14ac:dyDescent="0.25">
      <c r="G865" s="12"/>
    </row>
    <row r="866" spans="7:7" x14ac:dyDescent="0.25">
      <c r="G866" s="12"/>
    </row>
    <row r="867" spans="7:7" x14ac:dyDescent="0.25">
      <c r="G867" s="12"/>
    </row>
    <row r="868" spans="7:7" x14ac:dyDescent="0.25">
      <c r="G868" s="12"/>
    </row>
    <row r="869" spans="7:7" x14ac:dyDescent="0.25">
      <c r="G869" s="12"/>
    </row>
    <row r="870" spans="7:7" x14ac:dyDescent="0.25">
      <c r="G870" s="12"/>
    </row>
    <row r="871" spans="7:7" x14ac:dyDescent="0.25">
      <c r="G871" s="12"/>
    </row>
    <row r="872" spans="7:7" x14ac:dyDescent="0.25">
      <c r="G872" s="12"/>
    </row>
    <row r="873" spans="7:7" x14ac:dyDescent="0.25">
      <c r="G873" s="12"/>
    </row>
    <row r="874" spans="7:7" x14ac:dyDescent="0.25">
      <c r="G874" s="12"/>
    </row>
    <row r="875" spans="7:7" x14ac:dyDescent="0.25">
      <c r="G875" s="12"/>
    </row>
    <row r="876" spans="7:7" x14ac:dyDescent="0.25">
      <c r="G876" s="12"/>
    </row>
    <row r="877" spans="7:7" x14ac:dyDescent="0.25">
      <c r="G877" s="12"/>
    </row>
    <row r="878" spans="7:7" x14ac:dyDescent="0.25">
      <c r="G878" s="12"/>
    </row>
    <row r="879" spans="7:7" x14ac:dyDescent="0.25">
      <c r="G879" s="12"/>
    </row>
    <row r="880" spans="7:7" x14ac:dyDescent="0.25">
      <c r="G880" s="12"/>
    </row>
    <row r="881" spans="7:7" x14ac:dyDescent="0.25">
      <c r="G881" s="12"/>
    </row>
    <row r="882" spans="7:7" x14ac:dyDescent="0.25">
      <c r="G882" s="12"/>
    </row>
    <row r="883" spans="7:7" x14ac:dyDescent="0.25">
      <c r="G883" s="12"/>
    </row>
    <row r="884" spans="7:7" x14ac:dyDescent="0.25">
      <c r="G884" s="12"/>
    </row>
    <row r="885" spans="7:7" x14ac:dyDescent="0.25">
      <c r="G885" s="12"/>
    </row>
    <row r="886" spans="7:7" x14ac:dyDescent="0.25">
      <c r="G886" s="12"/>
    </row>
    <row r="887" spans="7:7" x14ac:dyDescent="0.25">
      <c r="G887" s="12"/>
    </row>
    <row r="888" spans="7:7" x14ac:dyDescent="0.25">
      <c r="G888" s="12"/>
    </row>
    <row r="889" spans="7:7" x14ac:dyDescent="0.25">
      <c r="G889" s="12"/>
    </row>
    <row r="890" spans="7:7" x14ac:dyDescent="0.25">
      <c r="G890" s="12"/>
    </row>
    <row r="891" spans="7:7" x14ac:dyDescent="0.25">
      <c r="G891" s="12"/>
    </row>
    <row r="892" spans="7:7" x14ac:dyDescent="0.25">
      <c r="G892" s="12"/>
    </row>
    <row r="893" spans="7:7" x14ac:dyDescent="0.25">
      <c r="G893" s="12"/>
    </row>
    <row r="894" spans="7:7" x14ac:dyDescent="0.25">
      <c r="G894" s="12"/>
    </row>
    <row r="895" spans="7:7" x14ac:dyDescent="0.25">
      <c r="G895" s="12"/>
    </row>
    <row r="896" spans="7:7" x14ac:dyDescent="0.25">
      <c r="G896" s="12"/>
    </row>
    <row r="897" spans="7:7" x14ac:dyDescent="0.25">
      <c r="G897" s="12"/>
    </row>
    <row r="898" spans="7:7" x14ac:dyDescent="0.25">
      <c r="G898" s="12"/>
    </row>
    <row r="899" spans="7:7" x14ac:dyDescent="0.25">
      <c r="G899" s="12"/>
    </row>
    <row r="900" spans="7:7" x14ac:dyDescent="0.25">
      <c r="G900" s="12"/>
    </row>
    <row r="901" spans="7:7" x14ac:dyDescent="0.25">
      <c r="G901" s="12"/>
    </row>
    <row r="902" spans="7:7" x14ac:dyDescent="0.25">
      <c r="G902" s="12"/>
    </row>
    <row r="903" spans="7:7" x14ac:dyDescent="0.25">
      <c r="G903" s="12"/>
    </row>
    <row r="904" spans="7:7" x14ac:dyDescent="0.25">
      <c r="G904" s="12"/>
    </row>
    <row r="905" spans="7:7" x14ac:dyDescent="0.25">
      <c r="G905" s="12"/>
    </row>
    <row r="906" spans="7:7" x14ac:dyDescent="0.25">
      <c r="G906" s="12"/>
    </row>
    <row r="907" spans="7:7" x14ac:dyDescent="0.25">
      <c r="G907" s="12"/>
    </row>
    <row r="908" spans="7:7" x14ac:dyDescent="0.25">
      <c r="G908" s="12"/>
    </row>
    <row r="909" spans="7:7" x14ac:dyDescent="0.25">
      <c r="G909" s="12"/>
    </row>
    <row r="910" spans="7:7" x14ac:dyDescent="0.25">
      <c r="G910" s="12"/>
    </row>
    <row r="911" spans="7:7" x14ac:dyDescent="0.25">
      <c r="G911" s="12"/>
    </row>
    <row r="912" spans="7:7" x14ac:dyDescent="0.25">
      <c r="G912" s="12"/>
    </row>
    <row r="913" spans="7:7" x14ac:dyDescent="0.25">
      <c r="G913" s="12"/>
    </row>
    <row r="914" spans="7:7" x14ac:dyDescent="0.25">
      <c r="G914" s="12"/>
    </row>
    <row r="915" spans="7:7" x14ac:dyDescent="0.25">
      <c r="G915" s="12"/>
    </row>
    <row r="916" spans="7:7" x14ac:dyDescent="0.25">
      <c r="G916" s="12"/>
    </row>
    <row r="917" spans="7:7" x14ac:dyDescent="0.25">
      <c r="G917" s="12"/>
    </row>
    <row r="918" spans="7:7" x14ac:dyDescent="0.25">
      <c r="G918" s="12"/>
    </row>
    <row r="919" spans="7:7" x14ac:dyDescent="0.25">
      <c r="G919" s="12"/>
    </row>
    <row r="920" spans="7:7" x14ac:dyDescent="0.25">
      <c r="G920" s="12"/>
    </row>
    <row r="921" spans="7:7" x14ac:dyDescent="0.25">
      <c r="G921" s="12"/>
    </row>
    <row r="922" spans="7:7" x14ac:dyDescent="0.25">
      <c r="G922" s="12"/>
    </row>
    <row r="923" spans="7:7" x14ac:dyDescent="0.25">
      <c r="G923" s="12"/>
    </row>
    <row r="924" spans="7:7" x14ac:dyDescent="0.25">
      <c r="G924" s="12"/>
    </row>
    <row r="925" spans="7:7" x14ac:dyDescent="0.25">
      <c r="G925" s="12"/>
    </row>
    <row r="926" spans="7:7" x14ac:dyDescent="0.25">
      <c r="G926" s="12"/>
    </row>
    <row r="927" spans="7:7" x14ac:dyDescent="0.25">
      <c r="G927" s="12"/>
    </row>
    <row r="928" spans="7:7" x14ac:dyDescent="0.25">
      <c r="G928" s="12"/>
    </row>
    <row r="929" spans="7:7" x14ac:dyDescent="0.25">
      <c r="G929" s="12"/>
    </row>
    <row r="930" spans="7:7" x14ac:dyDescent="0.25">
      <c r="G930" s="12"/>
    </row>
    <row r="931" spans="7:7" x14ac:dyDescent="0.25">
      <c r="G931" s="12"/>
    </row>
    <row r="932" spans="7:7" x14ac:dyDescent="0.25">
      <c r="G932" s="12"/>
    </row>
    <row r="933" spans="7:7" x14ac:dyDescent="0.25">
      <c r="G933" s="12"/>
    </row>
    <row r="934" spans="7:7" x14ac:dyDescent="0.25">
      <c r="G934" s="12"/>
    </row>
    <row r="935" spans="7:7" x14ac:dyDescent="0.25">
      <c r="G935" s="12"/>
    </row>
    <row r="936" spans="7:7" x14ac:dyDescent="0.25">
      <c r="G936" s="12"/>
    </row>
    <row r="937" spans="7:7" x14ac:dyDescent="0.25">
      <c r="G937" s="12"/>
    </row>
    <row r="938" spans="7:7" x14ac:dyDescent="0.25">
      <c r="G938" s="12"/>
    </row>
    <row r="939" spans="7:7" x14ac:dyDescent="0.25">
      <c r="G939" s="12"/>
    </row>
    <row r="940" spans="7:7" x14ac:dyDescent="0.25">
      <c r="G940" s="12"/>
    </row>
    <row r="941" spans="7:7" x14ac:dyDescent="0.25">
      <c r="G941" s="12"/>
    </row>
    <row r="942" spans="7:7" x14ac:dyDescent="0.25">
      <c r="G942" s="12"/>
    </row>
    <row r="943" spans="7:7" x14ac:dyDescent="0.25">
      <c r="G943" s="12"/>
    </row>
    <row r="944" spans="7:7" x14ac:dyDescent="0.25">
      <c r="G944" s="12"/>
    </row>
    <row r="945" spans="7:7" x14ac:dyDescent="0.25">
      <c r="G945" s="12"/>
    </row>
    <row r="946" spans="7:7" x14ac:dyDescent="0.25">
      <c r="G946" s="12"/>
    </row>
    <row r="947" spans="7:7" x14ac:dyDescent="0.25">
      <c r="G947" s="12"/>
    </row>
    <row r="948" spans="7:7" x14ac:dyDescent="0.25">
      <c r="G948" s="12"/>
    </row>
    <row r="949" spans="7:7" x14ac:dyDescent="0.25">
      <c r="G949" s="12"/>
    </row>
    <row r="950" spans="7:7" x14ac:dyDescent="0.25">
      <c r="G950" s="12"/>
    </row>
    <row r="951" spans="7:7" x14ac:dyDescent="0.25">
      <c r="G951" s="12"/>
    </row>
    <row r="952" spans="7:7" x14ac:dyDescent="0.25">
      <c r="G952" s="12"/>
    </row>
    <row r="953" spans="7:7" x14ac:dyDescent="0.25">
      <c r="G953" s="12"/>
    </row>
    <row r="954" spans="7:7" x14ac:dyDescent="0.25">
      <c r="G954" s="12"/>
    </row>
    <row r="955" spans="7:7" x14ac:dyDescent="0.25">
      <c r="G955" s="12"/>
    </row>
    <row r="956" spans="7:7" x14ac:dyDescent="0.25">
      <c r="G956" s="12"/>
    </row>
    <row r="957" spans="7:7" x14ac:dyDescent="0.25">
      <c r="G957" s="12"/>
    </row>
    <row r="958" spans="7:7" x14ac:dyDescent="0.25">
      <c r="G958" s="12"/>
    </row>
    <row r="959" spans="7:7" x14ac:dyDescent="0.25">
      <c r="G959" s="12"/>
    </row>
    <row r="960" spans="7:7" x14ac:dyDescent="0.25">
      <c r="G960" s="12"/>
    </row>
    <row r="961" spans="7:7" x14ac:dyDescent="0.25">
      <c r="G961" s="12"/>
    </row>
    <row r="962" spans="7:7" x14ac:dyDescent="0.25">
      <c r="G962" s="12"/>
    </row>
    <row r="963" spans="7:7" x14ac:dyDescent="0.25">
      <c r="G963" s="12"/>
    </row>
    <row r="964" spans="7:7" x14ac:dyDescent="0.25">
      <c r="G964" s="12"/>
    </row>
    <row r="965" spans="7:7" x14ac:dyDescent="0.25">
      <c r="G965" s="12"/>
    </row>
    <row r="966" spans="7:7" x14ac:dyDescent="0.25">
      <c r="G966" s="12"/>
    </row>
    <row r="967" spans="7:7" x14ac:dyDescent="0.25">
      <c r="G967" s="12"/>
    </row>
    <row r="968" spans="7:7" x14ac:dyDescent="0.25">
      <c r="G968" s="12"/>
    </row>
    <row r="969" spans="7:7" x14ac:dyDescent="0.25">
      <c r="G969" s="12"/>
    </row>
    <row r="970" spans="7:7" x14ac:dyDescent="0.25">
      <c r="G970" s="12"/>
    </row>
    <row r="971" spans="7:7" x14ac:dyDescent="0.25">
      <c r="G971" s="12"/>
    </row>
    <row r="972" spans="7:7" x14ac:dyDescent="0.25">
      <c r="G972" s="12"/>
    </row>
    <row r="973" spans="7:7" x14ac:dyDescent="0.25">
      <c r="G973" s="12"/>
    </row>
    <row r="974" spans="7:7" x14ac:dyDescent="0.25">
      <c r="G974" s="12"/>
    </row>
    <row r="975" spans="7:7" x14ac:dyDescent="0.25">
      <c r="G975" s="12"/>
    </row>
    <row r="976" spans="7:7" x14ac:dyDescent="0.25">
      <c r="G976" s="12"/>
    </row>
    <row r="977" spans="7:7" x14ac:dyDescent="0.25">
      <c r="G977" s="12"/>
    </row>
    <row r="978" spans="7:7" x14ac:dyDescent="0.25">
      <c r="G978" s="12"/>
    </row>
    <row r="979" spans="7:7" x14ac:dyDescent="0.25">
      <c r="G979" s="12"/>
    </row>
    <row r="980" spans="7:7" x14ac:dyDescent="0.25">
      <c r="G980" s="12"/>
    </row>
    <row r="981" spans="7:7" x14ac:dyDescent="0.25">
      <c r="G981" s="12"/>
    </row>
    <row r="982" spans="7:7" x14ac:dyDescent="0.25">
      <c r="G982" s="12"/>
    </row>
    <row r="983" spans="7:7" x14ac:dyDescent="0.25">
      <c r="G983" s="12"/>
    </row>
    <row r="984" spans="7:7" x14ac:dyDescent="0.25">
      <c r="G984" s="12"/>
    </row>
    <row r="985" spans="7:7" x14ac:dyDescent="0.25">
      <c r="G985" s="12"/>
    </row>
    <row r="986" spans="7:7" x14ac:dyDescent="0.25">
      <c r="G986" s="12"/>
    </row>
    <row r="987" spans="7:7" x14ac:dyDescent="0.25">
      <c r="G987" s="12"/>
    </row>
    <row r="988" spans="7:7" x14ac:dyDescent="0.25">
      <c r="G988" s="12"/>
    </row>
    <row r="989" spans="7:7" x14ac:dyDescent="0.25">
      <c r="G989" s="12"/>
    </row>
    <row r="990" spans="7:7" x14ac:dyDescent="0.25">
      <c r="G990" s="12"/>
    </row>
    <row r="991" spans="7:7" x14ac:dyDescent="0.25">
      <c r="G991" s="12"/>
    </row>
    <row r="992" spans="7:7" x14ac:dyDescent="0.25">
      <c r="G992" s="12"/>
    </row>
    <row r="993" spans="7:7" x14ac:dyDescent="0.25">
      <c r="G993" s="12"/>
    </row>
    <row r="994" spans="7:7" x14ac:dyDescent="0.25">
      <c r="G994" s="12"/>
    </row>
    <row r="995" spans="7:7" x14ac:dyDescent="0.25">
      <c r="G995" s="12"/>
    </row>
    <row r="996" spans="7:7" x14ac:dyDescent="0.25">
      <c r="G996" s="12"/>
    </row>
    <row r="997" spans="7:7" x14ac:dyDescent="0.25">
      <c r="G997" s="12"/>
    </row>
    <row r="998" spans="7:7" x14ac:dyDescent="0.25">
      <c r="G998" s="12"/>
    </row>
    <row r="999" spans="7:7" x14ac:dyDescent="0.25">
      <c r="G999" s="12"/>
    </row>
    <row r="1000" spans="7:7" x14ac:dyDescent="0.25">
      <c r="G1000" s="12"/>
    </row>
  </sheetData>
  <mergeCells count="1">
    <mergeCell ref="I1:P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T26"/>
  <sheetViews>
    <sheetView showGridLines="0" topLeftCell="A10" workbookViewId="0">
      <selection activeCell="M25" sqref="M25"/>
    </sheetView>
  </sheetViews>
  <sheetFormatPr defaultColWidth="12.6640625" defaultRowHeight="15.75" customHeight="1" x14ac:dyDescent="0.25"/>
  <cols>
    <col min="1" max="1" width="6.88671875" bestFit="1" customWidth="1"/>
    <col min="2" max="2" width="10.44140625" bestFit="1" customWidth="1"/>
    <col min="3" max="3" width="6" bestFit="1" customWidth="1"/>
    <col min="4" max="4" width="12.44140625" bestFit="1" customWidth="1"/>
    <col min="5" max="5" width="4.6640625" bestFit="1" customWidth="1"/>
    <col min="6" max="6" width="5.77734375" bestFit="1" customWidth="1"/>
    <col min="7" max="8" width="4.5546875" bestFit="1" customWidth="1"/>
    <col min="9" max="9" width="5.44140625" bestFit="1" customWidth="1"/>
    <col min="10" max="10" width="7.77734375" bestFit="1" customWidth="1"/>
    <col min="11" max="11" width="4.5546875" bestFit="1" customWidth="1"/>
    <col min="12" max="12" width="3.21875" customWidth="1"/>
    <col min="21" max="21" width="3.21875" customWidth="1"/>
  </cols>
  <sheetData>
    <row r="1" spans="1:20" ht="24.6" x14ac:dyDescent="0.55000000000000004">
      <c r="A1" s="1" t="s">
        <v>20</v>
      </c>
      <c r="B1" s="1" t="s">
        <v>1</v>
      </c>
      <c r="C1" s="2" t="s">
        <v>2</v>
      </c>
      <c r="D1" s="3" t="s">
        <v>21</v>
      </c>
      <c r="E1" s="3" t="s">
        <v>3</v>
      </c>
      <c r="F1" s="3" t="s">
        <v>4</v>
      </c>
      <c r="G1" s="3" t="s">
        <v>5</v>
      </c>
      <c r="H1" s="3" t="s">
        <v>6</v>
      </c>
      <c r="I1" s="3" t="s">
        <v>7</v>
      </c>
      <c r="J1" s="3" t="s">
        <v>8</v>
      </c>
      <c r="K1" s="3" t="s">
        <v>9</v>
      </c>
      <c r="M1" s="45" t="s">
        <v>22</v>
      </c>
      <c r="N1" s="46"/>
      <c r="O1" s="46"/>
      <c r="P1" s="46"/>
      <c r="Q1" s="46"/>
      <c r="R1" s="46"/>
      <c r="S1" s="46"/>
      <c r="T1" s="46"/>
    </row>
    <row r="2" spans="1:20" ht="13.2" customHeight="1" x14ac:dyDescent="0.25">
      <c r="A2" s="5" t="s">
        <v>23</v>
      </c>
      <c r="B2" s="5" t="s">
        <v>10</v>
      </c>
      <c r="C2" s="4" t="str">
        <f t="shared" ref="C2:C13" si="0">LEFT(B2,3)</f>
        <v>Jan</v>
      </c>
      <c r="D2" s="6" t="str">
        <f t="shared" ref="D2:D13" si="1">C2 &amp; "-" &amp; A2</f>
        <v>Jan-XmR</v>
      </c>
      <c r="E2" s="6">
        <v>3.7</v>
      </c>
      <c r="F2" s="7">
        <f>AVERAGE(E2:E13)</f>
        <v>4.0333333333333341</v>
      </c>
      <c r="G2" s="7">
        <f>F2+(2.66*J2)</f>
        <v>4.2267878787878796</v>
      </c>
      <c r="H2" s="7">
        <f>F2-(2.66*J2)</f>
        <v>3.8398787878787881</v>
      </c>
      <c r="I2" s="4"/>
      <c r="J2" s="7">
        <f>AVERAGE(I3:I13)</f>
        <v>7.2727272727272876E-2</v>
      </c>
      <c r="K2" s="7">
        <f>3.238*J2</f>
        <v>0.23549090909090958</v>
      </c>
      <c r="M2" s="36" t="s">
        <v>31</v>
      </c>
      <c r="N2" s="37"/>
      <c r="O2" s="37"/>
      <c r="P2" s="37"/>
      <c r="Q2" s="37"/>
      <c r="R2" s="37"/>
      <c r="S2" s="37"/>
      <c r="T2" s="38"/>
    </row>
    <row r="3" spans="1:20" ht="13.2" customHeight="1" x14ac:dyDescent="0.25">
      <c r="A3" s="5" t="s">
        <v>23</v>
      </c>
      <c r="B3" s="5" t="s">
        <v>11</v>
      </c>
      <c r="C3" s="4" t="str">
        <f t="shared" si="0"/>
        <v>Feb</v>
      </c>
      <c r="D3" s="6" t="str">
        <f t="shared" si="1"/>
        <v>Feb-XmR</v>
      </c>
      <c r="E3" s="6">
        <v>3.9</v>
      </c>
      <c r="F3" s="7">
        <f t="shared" ref="F3:H3" si="2">F2</f>
        <v>4.0333333333333341</v>
      </c>
      <c r="G3" s="7">
        <f t="shared" si="2"/>
        <v>4.2267878787878796</v>
      </c>
      <c r="H3" s="7">
        <f t="shared" si="2"/>
        <v>3.8398787878787881</v>
      </c>
      <c r="I3" s="6">
        <f t="shared" ref="I3:I13" si="3">ABS(E2-E3)</f>
        <v>0.19999999999999973</v>
      </c>
      <c r="J3" s="7">
        <f t="shared" ref="J3:K3" si="4">J2</f>
        <v>7.2727272727272876E-2</v>
      </c>
      <c r="K3" s="7">
        <f t="shared" si="4"/>
        <v>0.23549090909090958</v>
      </c>
      <c r="M3" s="39"/>
      <c r="N3" s="40"/>
      <c r="O3" s="40"/>
      <c r="P3" s="40"/>
      <c r="Q3" s="40"/>
      <c r="R3" s="40"/>
      <c r="S3" s="40"/>
      <c r="T3" s="41"/>
    </row>
    <row r="4" spans="1:20" ht="13.2" customHeight="1" x14ac:dyDescent="0.25">
      <c r="A4" s="5" t="s">
        <v>23</v>
      </c>
      <c r="B4" s="5" t="s">
        <v>12</v>
      </c>
      <c r="C4" s="4" t="str">
        <f t="shared" si="0"/>
        <v>Mar</v>
      </c>
      <c r="D4" s="6" t="str">
        <f t="shared" si="1"/>
        <v>Mar-XmR</v>
      </c>
      <c r="E4" s="6">
        <v>3.9</v>
      </c>
      <c r="F4" s="7">
        <f t="shared" ref="F4:H4" si="5">F3</f>
        <v>4.0333333333333341</v>
      </c>
      <c r="G4" s="7">
        <f t="shared" si="5"/>
        <v>4.2267878787878796</v>
      </c>
      <c r="H4" s="7">
        <f t="shared" si="5"/>
        <v>3.8398787878787881</v>
      </c>
      <c r="I4" s="6">
        <f t="shared" si="3"/>
        <v>0</v>
      </c>
      <c r="J4" s="7">
        <f t="shared" ref="J4:K4" si="6">J3</f>
        <v>7.2727272727272876E-2</v>
      </c>
      <c r="K4" s="7">
        <f t="shared" si="6"/>
        <v>0.23549090909090958</v>
      </c>
      <c r="M4" s="39"/>
      <c r="N4" s="40"/>
      <c r="O4" s="40"/>
      <c r="P4" s="40"/>
      <c r="Q4" s="40"/>
      <c r="R4" s="40"/>
      <c r="S4" s="40"/>
      <c r="T4" s="41"/>
    </row>
    <row r="5" spans="1:20" ht="13.2" customHeight="1" x14ac:dyDescent="0.25">
      <c r="A5" s="5" t="s">
        <v>23</v>
      </c>
      <c r="B5" s="5" t="s">
        <v>13</v>
      </c>
      <c r="C5" s="4" t="str">
        <f t="shared" si="0"/>
        <v>Apr</v>
      </c>
      <c r="D5" s="6" t="str">
        <f t="shared" si="1"/>
        <v>Apr-XmR</v>
      </c>
      <c r="E5" s="6">
        <v>3.9</v>
      </c>
      <c r="F5" s="7">
        <f t="shared" ref="F5:H5" si="7">F4</f>
        <v>4.0333333333333341</v>
      </c>
      <c r="G5" s="7">
        <f t="shared" si="7"/>
        <v>4.2267878787878796</v>
      </c>
      <c r="H5" s="7">
        <f t="shared" si="7"/>
        <v>3.8398787878787881</v>
      </c>
      <c r="I5" s="6">
        <f t="shared" si="3"/>
        <v>0</v>
      </c>
      <c r="J5" s="7">
        <f t="shared" ref="J5:K5" si="8">J4</f>
        <v>7.2727272727272876E-2</v>
      </c>
      <c r="K5" s="7">
        <f t="shared" si="8"/>
        <v>0.23549090909090958</v>
      </c>
      <c r="M5" s="39"/>
      <c r="N5" s="40"/>
      <c r="O5" s="40"/>
      <c r="P5" s="40"/>
      <c r="Q5" s="40"/>
      <c r="R5" s="40"/>
      <c r="S5" s="40"/>
      <c r="T5" s="41"/>
    </row>
    <row r="6" spans="1:20" ht="13.2" customHeight="1" x14ac:dyDescent="0.25">
      <c r="A6" s="5" t="s">
        <v>23</v>
      </c>
      <c r="B6" s="5" t="s">
        <v>14</v>
      </c>
      <c r="C6" s="4" t="str">
        <f t="shared" si="0"/>
        <v>May</v>
      </c>
      <c r="D6" s="6" t="str">
        <f t="shared" si="1"/>
        <v>May-XmR</v>
      </c>
      <c r="E6" s="8">
        <v>4</v>
      </c>
      <c r="F6" s="7">
        <f t="shared" ref="F6:H6" si="9">F5</f>
        <v>4.0333333333333341</v>
      </c>
      <c r="G6" s="7">
        <f t="shared" si="9"/>
        <v>4.2267878787878796</v>
      </c>
      <c r="H6" s="7">
        <f t="shared" si="9"/>
        <v>3.8398787878787881</v>
      </c>
      <c r="I6" s="6">
        <f t="shared" si="3"/>
        <v>0.10000000000000009</v>
      </c>
      <c r="J6" s="7">
        <f t="shared" ref="J6:K6" si="10">J5</f>
        <v>7.2727272727272876E-2</v>
      </c>
      <c r="K6" s="7">
        <f t="shared" si="10"/>
        <v>0.23549090909090958</v>
      </c>
      <c r="M6" s="39"/>
      <c r="N6" s="40"/>
      <c r="O6" s="40"/>
      <c r="P6" s="40"/>
      <c r="Q6" s="40"/>
      <c r="R6" s="40"/>
      <c r="S6" s="40"/>
      <c r="T6" s="41"/>
    </row>
    <row r="7" spans="1:20" ht="13.2" customHeight="1" x14ac:dyDescent="0.25">
      <c r="A7" s="5" t="s">
        <v>23</v>
      </c>
      <c r="B7" s="9">
        <v>45444</v>
      </c>
      <c r="C7" s="4" t="str">
        <f t="shared" si="0"/>
        <v>454</v>
      </c>
      <c r="D7" s="6" t="str">
        <f t="shared" si="1"/>
        <v>454-XmR</v>
      </c>
      <c r="E7" s="6">
        <v>4.0999999999999996</v>
      </c>
      <c r="F7" s="7">
        <f t="shared" ref="F7:H7" si="11">F6</f>
        <v>4.0333333333333341</v>
      </c>
      <c r="G7" s="7">
        <f t="shared" si="11"/>
        <v>4.2267878787878796</v>
      </c>
      <c r="H7" s="7">
        <f t="shared" si="11"/>
        <v>3.8398787878787881</v>
      </c>
      <c r="I7" s="6">
        <f t="shared" si="3"/>
        <v>9.9999999999999645E-2</v>
      </c>
      <c r="J7" s="7">
        <f t="shared" ref="J7:K7" si="12">J6</f>
        <v>7.2727272727272876E-2</v>
      </c>
      <c r="K7" s="7">
        <f t="shared" si="12"/>
        <v>0.23549090909090958</v>
      </c>
      <c r="M7" s="39"/>
      <c r="N7" s="40"/>
      <c r="O7" s="40"/>
      <c r="P7" s="40"/>
      <c r="Q7" s="40"/>
      <c r="R7" s="40"/>
      <c r="S7" s="40"/>
      <c r="T7" s="41"/>
    </row>
    <row r="8" spans="1:20" ht="13.2" customHeight="1" x14ac:dyDescent="0.25">
      <c r="A8" s="5" t="s">
        <v>23</v>
      </c>
      <c r="B8" s="9">
        <v>45474</v>
      </c>
      <c r="C8" s="4" t="str">
        <f t="shared" si="0"/>
        <v>454</v>
      </c>
      <c r="D8" s="6" t="str">
        <f t="shared" si="1"/>
        <v>454-XmR</v>
      </c>
      <c r="E8" s="6">
        <v>4.2</v>
      </c>
      <c r="F8" s="7">
        <f t="shared" ref="F8:H8" si="13">F7</f>
        <v>4.0333333333333341</v>
      </c>
      <c r="G8" s="7">
        <f t="shared" si="13"/>
        <v>4.2267878787878796</v>
      </c>
      <c r="H8" s="7">
        <f t="shared" si="13"/>
        <v>3.8398787878787881</v>
      </c>
      <c r="I8" s="6">
        <f t="shared" si="3"/>
        <v>0.10000000000000053</v>
      </c>
      <c r="J8" s="7">
        <f t="shared" ref="J8:K8" si="14">J7</f>
        <v>7.2727272727272876E-2</v>
      </c>
      <c r="K8" s="7">
        <f t="shared" si="14"/>
        <v>0.23549090909090958</v>
      </c>
      <c r="M8" s="39"/>
      <c r="N8" s="40"/>
      <c r="O8" s="40"/>
      <c r="P8" s="40"/>
      <c r="Q8" s="40"/>
      <c r="R8" s="40"/>
      <c r="S8" s="40"/>
      <c r="T8" s="41"/>
    </row>
    <row r="9" spans="1:20" ht="13.2" customHeight="1" x14ac:dyDescent="0.25">
      <c r="A9" s="5" t="s">
        <v>23</v>
      </c>
      <c r="B9" s="5" t="s">
        <v>15</v>
      </c>
      <c r="C9" s="4" t="str">
        <f t="shared" si="0"/>
        <v>Aug</v>
      </c>
      <c r="D9" s="6" t="str">
        <f t="shared" si="1"/>
        <v>Aug-XmR</v>
      </c>
      <c r="E9" s="6">
        <v>4.2</v>
      </c>
      <c r="F9" s="7">
        <f t="shared" ref="F9:H9" si="15">F8</f>
        <v>4.0333333333333341</v>
      </c>
      <c r="G9" s="7">
        <f t="shared" si="15"/>
        <v>4.2267878787878796</v>
      </c>
      <c r="H9" s="7">
        <f t="shared" si="15"/>
        <v>3.8398787878787881</v>
      </c>
      <c r="I9" s="6">
        <f t="shared" si="3"/>
        <v>0</v>
      </c>
      <c r="J9" s="7">
        <f t="shared" ref="J9:K9" si="16">J8</f>
        <v>7.2727272727272876E-2</v>
      </c>
      <c r="K9" s="7">
        <f t="shared" si="16"/>
        <v>0.23549090909090958</v>
      </c>
      <c r="M9" s="39"/>
      <c r="N9" s="40"/>
      <c r="O9" s="40"/>
      <c r="P9" s="40"/>
      <c r="Q9" s="40"/>
      <c r="R9" s="40"/>
      <c r="S9" s="40"/>
      <c r="T9" s="41"/>
    </row>
    <row r="10" spans="1:20" ht="13.2" customHeight="1" x14ac:dyDescent="0.25">
      <c r="A10" s="5" t="s">
        <v>23</v>
      </c>
      <c r="B10" s="9">
        <v>45536</v>
      </c>
      <c r="C10" s="4" t="str">
        <f t="shared" si="0"/>
        <v>455</v>
      </c>
      <c r="D10" s="6" t="str">
        <f t="shared" si="1"/>
        <v>455-XmR</v>
      </c>
      <c r="E10" s="6">
        <v>4.0999999999999996</v>
      </c>
      <c r="F10" s="7">
        <f t="shared" ref="F10:H10" si="17">F9</f>
        <v>4.0333333333333341</v>
      </c>
      <c r="G10" s="7">
        <f t="shared" si="17"/>
        <v>4.2267878787878796</v>
      </c>
      <c r="H10" s="7">
        <f t="shared" si="17"/>
        <v>3.8398787878787881</v>
      </c>
      <c r="I10" s="6">
        <f t="shared" si="3"/>
        <v>0.10000000000000053</v>
      </c>
      <c r="J10" s="7">
        <f t="shared" ref="J10:K10" si="18">J9</f>
        <v>7.2727272727272876E-2</v>
      </c>
      <c r="K10" s="7">
        <f t="shared" si="18"/>
        <v>0.23549090909090958</v>
      </c>
      <c r="M10" s="39"/>
      <c r="N10" s="40"/>
      <c r="O10" s="40"/>
      <c r="P10" s="40"/>
      <c r="Q10" s="40"/>
      <c r="R10" s="40"/>
      <c r="S10" s="40"/>
      <c r="T10" s="41"/>
    </row>
    <row r="11" spans="1:20" ht="13.2" customHeight="1" x14ac:dyDescent="0.25">
      <c r="A11" s="5" t="s">
        <v>23</v>
      </c>
      <c r="B11" s="5" t="s">
        <v>16</v>
      </c>
      <c r="C11" s="4" t="str">
        <f t="shared" si="0"/>
        <v>Oct</v>
      </c>
      <c r="D11" s="6" t="str">
        <f t="shared" si="1"/>
        <v>Oct-XmR</v>
      </c>
      <c r="E11" s="6">
        <v>4.0999999999999996</v>
      </c>
      <c r="F11" s="7">
        <f t="shared" ref="F11:H11" si="19">F10</f>
        <v>4.0333333333333341</v>
      </c>
      <c r="G11" s="7">
        <f t="shared" si="19"/>
        <v>4.2267878787878796</v>
      </c>
      <c r="H11" s="7">
        <f t="shared" si="19"/>
        <v>3.8398787878787881</v>
      </c>
      <c r="I11" s="6">
        <f t="shared" si="3"/>
        <v>0</v>
      </c>
      <c r="J11" s="7">
        <f t="shared" ref="J11:K11" si="20">J10</f>
        <v>7.2727272727272876E-2</v>
      </c>
      <c r="K11" s="7">
        <f t="shared" si="20"/>
        <v>0.23549090909090958</v>
      </c>
      <c r="M11" s="39"/>
      <c r="N11" s="40"/>
      <c r="O11" s="40"/>
      <c r="P11" s="40"/>
      <c r="Q11" s="40"/>
      <c r="R11" s="40"/>
      <c r="S11" s="40"/>
      <c r="T11" s="41"/>
    </row>
    <row r="12" spans="1:20" ht="13.2" customHeight="1" x14ac:dyDescent="0.25">
      <c r="A12" s="5" t="s">
        <v>23</v>
      </c>
      <c r="B12" s="5" t="s">
        <v>17</v>
      </c>
      <c r="C12" s="4" t="str">
        <f t="shared" si="0"/>
        <v>Nov</v>
      </c>
      <c r="D12" s="6" t="str">
        <f t="shared" si="1"/>
        <v>Nov-XmR</v>
      </c>
      <c r="E12" s="6">
        <v>4.2</v>
      </c>
      <c r="F12" s="7">
        <f t="shared" ref="F12:H12" si="21">F11</f>
        <v>4.0333333333333341</v>
      </c>
      <c r="G12" s="7">
        <f t="shared" si="21"/>
        <v>4.2267878787878796</v>
      </c>
      <c r="H12" s="7">
        <f t="shared" si="21"/>
        <v>3.8398787878787881</v>
      </c>
      <c r="I12" s="6">
        <f t="shared" si="3"/>
        <v>0.10000000000000053</v>
      </c>
      <c r="J12" s="7">
        <f t="shared" ref="J12:K12" si="22">J11</f>
        <v>7.2727272727272876E-2</v>
      </c>
      <c r="K12" s="7">
        <f t="shared" si="22"/>
        <v>0.23549090909090958</v>
      </c>
      <c r="M12" s="39"/>
      <c r="N12" s="40"/>
      <c r="O12" s="40"/>
      <c r="P12" s="40"/>
      <c r="Q12" s="40"/>
      <c r="R12" s="40"/>
      <c r="S12" s="40"/>
      <c r="T12" s="41"/>
    </row>
    <row r="13" spans="1:20" ht="13.2" customHeight="1" x14ac:dyDescent="0.25">
      <c r="A13" s="5" t="s">
        <v>23</v>
      </c>
      <c r="B13" s="5" t="s">
        <v>18</v>
      </c>
      <c r="C13" s="4" t="str">
        <f t="shared" si="0"/>
        <v>Dec</v>
      </c>
      <c r="D13" s="6" t="str">
        <f t="shared" si="1"/>
        <v>Dec-XmR</v>
      </c>
      <c r="E13" s="6">
        <v>4.0999999999999996</v>
      </c>
      <c r="F13" s="7">
        <f t="shared" ref="F13:H13" si="23">F12</f>
        <v>4.0333333333333341</v>
      </c>
      <c r="G13" s="7">
        <f t="shared" si="23"/>
        <v>4.2267878787878796</v>
      </c>
      <c r="H13" s="7">
        <f t="shared" si="23"/>
        <v>3.8398787878787881</v>
      </c>
      <c r="I13" s="6">
        <f t="shared" si="3"/>
        <v>0.10000000000000053</v>
      </c>
      <c r="J13" s="7">
        <f t="shared" ref="J13:K13" si="24">J12</f>
        <v>7.2727272727272876E-2</v>
      </c>
      <c r="K13" s="7">
        <f t="shared" si="24"/>
        <v>0.23549090909090958</v>
      </c>
      <c r="M13" s="39"/>
      <c r="N13" s="40"/>
      <c r="O13" s="40"/>
      <c r="P13" s="40"/>
      <c r="Q13" s="40"/>
      <c r="R13" s="40"/>
      <c r="S13" s="40"/>
      <c r="T13" s="41"/>
    </row>
    <row r="14" spans="1:20" ht="13.2" customHeight="1" x14ac:dyDescent="0.25">
      <c r="I14" s="12" t="s">
        <v>19</v>
      </c>
      <c r="M14" s="39"/>
      <c r="N14" s="40"/>
      <c r="O14" s="40"/>
      <c r="P14" s="40"/>
      <c r="Q14" s="40"/>
      <c r="R14" s="40"/>
      <c r="S14" s="40"/>
      <c r="T14" s="41"/>
    </row>
    <row r="15" spans="1:20" ht="13.2" customHeight="1" x14ac:dyDescent="0.25">
      <c r="A15" s="5" t="s">
        <v>19</v>
      </c>
      <c r="B15" s="5" t="s">
        <v>10</v>
      </c>
      <c r="C15" s="4" t="str">
        <f t="shared" ref="C15:C26" si="25">LEFT(B15,3)</f>
        <v>Jan</v>
      </c>
      <c r="D15" s="12" t="str">
        <f>C15 &amp; "-" &amp; A15</f>
        <v>Jan-Stdev</v>
      </c>
      <c r="E15" s="6">
        <v>3.7</v>
      </c>
      <c r="F15" s="7">
        <f>AVERAGE(E15:E26)</f>
        <v>4.0333333333333341</v>
      </c>
      <c r="G15" s="7">
        <f>F15+(3*I15)</f>
        <v>4.500432699830248</v>
      </c>
      <c r="H15" s="7">
        <f>F15-(3*I15)</f>
        <v>3.5662339668364202</v>
      </c>
      <c r="I15" s="7">
        <f>STDEVA(E15:E26)</f>
        <v>0.15569978883230459</v>
      </c>
      <c r="M15" s="39"/>
      <c r="N15" s="40"/>
      <c r="O15" s="40"/>
      <c r="P15" s="40"/>
      <c r="Q15" s="40"/>
      <c r="R15" s="40"/>
      <c r="S15" s="40"/>
      <c r="T15" s="41"/>
    </row>
    <row r="16" spans="1:20" ht="13.2" customHeight="1" x14ac:dyDescent="0.25">
      <c r="A16" s="5" t="s">
        <v>19</v>
      </c>
      <c r="B16" s="5" t="s">
        <v>11</v>
      </c>
      <c r="C16" s="4" t="str">
        <f t="shared" si="25"/>
        <v>Feb</v>
      </c>
      <c r="D16" s="12" t="str">
        <f t="shared" ref="D16:D26" si="26">C16 &amp; "-" &amp; "Stdev"</f>
        <v>Feb-Stdev</v>
      </c>
      <c r="E16" s="6">
        <v>3.9</v>
      </c>
      <c r="F16" s="7">
        <f t="shared" ref="F16:H16" si="27">F15</f>
        <v>4.0333333333333341</v>
      </c>
      <c r="G16" s="7">
        <f t="shared" si="27"/>
        <v>4.500432699830248</v>
      </c>
      <c r="H16" s="7">
        <f t="shared" si="27"/>
        <v>3.5662339668364202</v>
      </c>
      <c r="I16" s="7">
        <f t="shared" ref="I16:I26" si="28">I15</f>
        <v>0.15569978883230459</v>
      </c>
      <c r="M16" s="39"/>
      <c r="N16" s="40"/>
      <c r="O16" s="40"/>
      <c r="P16" s="40"/>
      <c r="Q16" s="40"/>
      <c r="R16" s="40"/>
      <c r="S16" s="40"/>
      <c r="T16" s="41"/>
    </row>
    <row r="17" spans="1:20" ht="13.2" customHeight="1" x14ac:dyDescent="0.25">
      <c r="A17" s="5" t="s">
        <v>19</v>
      </c>
      <c r="B17" s="5" t="s">
        <v>12</v>
      </c>
      <c r="C17" s="4" t="str">
        <f t="shared" si="25"/>
        <v>Mar</v>
      </c>
      <c r="D17" s="12" t="str">
        <f t="shared" si="26"/>
        <v>Mar-Stdev</v>
      </c>
      <c r="E17" s="6">
        <v>3.9</v>
      </c>
      <c r="F17" s="7">
        <f t="shared" ref="F17:H17" si="29">F16</f>
        <v>4.0333333333333341</v>
      </c>
      <c r="G17" s="7">
        <f t="shared" si="29"/>
        <v>4.500432699830248</v>
      </c>
      <c r="H17" s="7">
        <f t="shared" si="29"/>
        <v>3.5662339668364202</v>
      </c>
      <c r="I17" s="7">
        <f t="shared" si="28"/>
        <v>0.15569978883230459</v>
      </c>
      <c r="M17" s="39"/>
      <c r="N17" s="40"/>
      <c r="O17" s="40"/>
      <c r="P17" s="40"/>
      <c r="Q17" s="40"/>
      <c r="R17" s="40"/>
      <c r="S17" s="40"/>
      <c r="T17" s="41"/>
    </row>
    <row r="18" spans="1:20" ht="13.2" customHeight="1" x14ac:dyDescent="0.25">
      <c r="A18" s="5" t="s">
        <v>19</v>
      </c>
      <c r="B18" s="5" t="s">
        <v>13</v>
      </c>
      <c r="C18" s="4" t="str">
        <f t="shared" si="25"/>
        <v>Apr</v>
      </c>
      <c r="D18" s="12" t="str">
        <f t="shared" si="26"/>
        <v>Apr-Stdev</v>
      </c>
      <c r="E18" s="6">
        <v>3.9</v>
      </c>
      <c r="F18" s="7">
        <f t="shared" ref="F18:H18" si="30">F17</f>
        <v>4.0333333333333341</v>
      </c>
      <c r="G18" s="7">
        <f t="shared" si="30"/>
        <v>4.500432699830248</v>
      </c>
      <c r="H18" s="7">
        <f t="shared" si="30"/>
        <v>3.5662339668364202</v>
      </c>
      <c r="I18" s="7">
        <f t="shared" si="28"/>
        <v>0.15569978883230459</v>
      </c>
      <c r="M18" s="39"/>
      <c r="N18" s="40"/>
      <c r="O18" s="40"/>
      <c r="P18" s="40"/>
      <c r="Q18" s="40"/>
      <c r="R18" s="40"/>
      <c r="S18" s="40"/>
      <c r="T18" s="41"/>
    </row>
    <row r="19" spans="1:20" ht="13.2" customHeight="1" x14ac:dyDescent="0.25">
      <c r="A19" s="5" t="s">
        <v>19</v>
      </c>
      <c r="B19" s="5" t="s">
        <v>14</v>
      </c>
      <c r="C19" s="4" t="str">
        <f t="shared" si="25"/>
        <v>May</v>
      </c>
      <c r="D19" s="12" t="str">
        <f t="shared" si="26"/>
        <v>May-Stdev</v>
      </c>
      <c r="E19" s="8">
        <v>4</v>
      </c>
      <c r="F19" s="7">
        <f t="shared" ref="F19:H19" si="31">F18</f>
        <v>4.0333333333333341</v>
      </c>
      <c r="G19" s="7">
        <f t="shared" si="31"/>
        <v>4.500432699830248</v>
      </c>
      <c r="H19" s="7">
        <f t="shared" si="31"/>
        <v>3.5662339668364202</v>
      </c>
      <c r="I19" s="7">
        <f t="shared" si="28"/>
        <v>0.15569978883230459</v>
      </c>
      <c r="M19" s="39"/>
      <c r="N19" s="40"/>
      <c r="O19" s="40"/>
      <c r="P19" s="40"/>
      <c r="Q19" s="40"/>
      <c r="R19" s="40"/>
      <c r="S19" s="40"/>
      <c r="T19" s="41"/>
    </row>
    <row r="20" spans="1:20" ht="13.2" customHeight="1" x14ac:dyDescent="0.25">
      <c r="A20" s="5" t="s">
        <v>19</v>
      </c>
      <c r="B20" s="9">
        <v>45444</v>
      </c>
      <c r="C20" s="4" t="str">
        <f t="shared" si="25"/>
        <v>454</v>
      </c>
      <c r="D20" s="12" t="str">
        <f t="shared" si="26"/>
        <v>454-Stdev</v>
      </c>
      <c r="E20" s="6">
        <v>4.0999999999999996</v>
      </c>
      <c r="F20" s="7">
        <f t="shared" ref="F20:H20" si="32">F19</f>
        <v>4.0333333333333341</v>
      </c>
      <c r="G20" s="7">
        <f t="shared" si="32"/>
        <v>4.500432699830248</v>
      </c>
      <c r="H20" s="7">
        <f t="shared" si="32"/>
        <v>3.5662339668364202</v>
      </c>
      <c r="I20" s="7">
        <f t="shared" si="28"/>
        <v>0.15569978883230459</v>
      </c>
      <c r="M20" s="39"/>
      <c r="N20" s="40"/>
      <c r="O20" s="40"/>
      <c r="P20" s="40"/>
      <c r="Q20" s="40"/>
      <c r="R20" s="40"/>
      <c r="S20" s="40"/>
      <c r="T20" s="41"/>
    </row>
    <row r="21" spans="1:20" ht="13.2" customHeight="1" x14ac:dyDescent="0.25">
      <c r="A21" s="5" t="s">
        <v>19</v>
      </c>
      <c r="B21" s="9">
        <v>45474</v>
      </c>
      <c r="C21" s="4" t="str">
        <f t="shared" si="25"/>
        <v>454</v>
      </c>
      <c r="D21" s="12" t="str">
        <f t="shared" si="26"/>
        <v>454-Stdev</v>
      </c>
      <c r="E21" s="6">
        <v>4.2</v>
      </c>
      <c r="F21" s="7">
        <f t="shared" ref="F21:H21" si="33">F20</f>
        <v>4.0333333333333341</v>
      </c>
      <c r="G21" s="7">
        <f t="shared" si="33"/>
        <v>4.500432699830248</v>
      </c>
      <c r="H21" s="7">
        <f t="shared" si="33"/>
        <v>3.5662339668364202</v>
      </c>
      <c r="I21" s="7">
        <f t="shared" si="28"/>
        <v>0.15569978883230459</v>
      </c>
      <c r="M21" s="39"/>
      <c r="N21" s="40"/>
      <c r="O21" s="40"/>
      <c r="P21" s="40"/>
      <c r="Q21" s="40"/>
      <c r="R21" s="40"/>
      <c r="S21" s="40"/>
      <c r="T21" s="41"/>
    </row>
    <row r="22" spans="1:20" ht="13.2" customHeight="1" x14ac:dyDescent="0.25">
      <c r="A22" s="5" t="s">
        <v>19</v>
      </c>
      <c r="B22" s="5" t="s">
        <v>15</v>
      </c>
      <c r="C22" s="4" t="str">
        <f t="shared" si="25"/>
        <v>Aug</v>
      </c>
      <c r="D22" s="12" t="str">
        <f t="shared" si="26"/>
        <v>Aug-Stdev</v>
      </c>
      <c r="E22" s="6">
        <v>4.2</v>
      </c>
      <c r="F22" s="7">
        <f t="shared" ref="F22:H22" si="34">F21</f>
        <v>4.0333333333333341</v>
      </c>
      <c r="G22" s="7">
        <f t="shared" si="34"/>
        <v>4.500432699830248</v>
      </c>
      <c r="H22" s="7">
        <f t="shared" si="34"/>
        <v>3.5662339668364202</v>
      </c>
      <c r="I22" s="7">
        <f t="shared" si="28"/>
        <v>0.15569978883230459</v>
      </c>
      <c r="M22" s="39"/>
      <c r="N22" s="40"/>
      <c r="O22" s="40"/>
      <c r="P22" s="40"/>
      <c r="Q22" s="40"/>
      <c r="R22" s="40"/>
      <c r="S22" s="40"/>
      <c r="T22" s="41"/>
    </row>
    <row r="23" spans="1:20" ht="13.2" x14ac:dyDescent="0.25">
      <c r="A23" s="5" t="s">
        <v>19</v>
      </c>
      <c r="B23" s="9">
        <v>45536</v>
      </c>
      <c r="C23" s="4" t="str">
        <f t="shared" si="25"/>
        <v>455</v>
      </c>
      <c r="D23" s="12" t="str">
        <f t="shared" si="26"/>
        <v>455-Stdev</v>
      </c>
      <c r="E23" s="6">
        <v>4.0999999999999996</v>
      </c>
      <c r="F23" s="7">
        <f t="shared" ref="F23:H23" si="35">F22</f>
        <v>4.0333333333333341</v>
      </c>
      <c r="G23" s="7">
        <f t="shared" si="35"/>
        <v>4.500432699830248</v>
      </c>
      <c r="H23" s="7">
        <f t="shared" si="35"/>
        <v>3.5662339668364202</v>
      </c>
      <c r="I23" s="7">
        <f t="shared" si="28"/>
        <v>0.15569978883230459</v>
      </c>
      <c r="M23" s="39"/>
      <c r="N23" s="40"/>
      <c r="O23" s="40"/>
      <c r="P23" s="40"/>
      <c r="Q23" s="40"/>
      <c r="R23" s="40"/>
      <c r="S23" s="40"/>
      <c r="T23" s="41"/>
    </row>
    <row r="24" spans="1:20" ht="13.2" x14ac:dyDescent="0.25">
      <c r="A24" s="5" t="s">
        <v>19</v>
      </c>
      <c r="B24" s="5" t="s">
        <v>16</v>
      </c>
      <c r="C24" s="4" t="str">
        <f t="shared" si="25"/>
        <v>Oct</v>
      </c>
      <c r="D24" s="12" t="str">
        <f t="shared" si="26"/>
        <v>Oct-Stdev</v>
      </c>
      <c r="E24" s="6">
        <v>4.0999999999999996</v>
      </c>
      <c r="F24" s="7">
        <f t="shared" ref="F24:H24" si="36">F23</f>
        <v>4.0333333333333341</v>
      </c>
      <c r="G24" s="7">
        <f t="shared" si="36"/>
        <v>4.500432699830248</v>
      </c>
      <c r="H24" s="7">
        <f t="shared" si="36"/>
        <v>3.5662339668364202</v>
      </c>
      <c r="I24" s="7">
        <f t="shared" si="28"/>
        <v>0.15569978883230459</v>
      </c>
      <c r="M24" s="42"/>
      <c r="N24" s="43"/>
      <c r="O24" s="43"/>
      <c r="P24" s="43"/>
      <c r="Q24" s="43"/>
      <c r="R24" s="43"/>
      <c r="S24" s="43"/>
      <c r="T24" s="44"/>
    </row>
    <row r="25" spans="1:20" ht="13.2" x14ac:dyDescent="0.25">
      <c r="A25" s="5" t="s">
        <v>19</v>
      </c>
      <c r="B25" s="5" t="s">
        <v>17</v>
      </c>
      <c r="C25" s="4" t="str">
        <f t="shared" si="25"/>
        <v>Nov</v>
      </c>
      <c r="D25" s="12" t="str">
        <f t="shared" si="26"/>
        <v>Nov-Stdev</v>
      </c>
      <c r="E25" s="6">
        <v>4.2</v>
      </c>
      <c r="F25" s="7">
        <f t="shared" ref="F25:H25" si="37">F24</f>
        <v>4.0333333333333341</v>
      </c>
      <c r="G25" s="7">
        <f t="shared" si="37"/>
        <v>4.500432699830248</v>
      </c>
      <c r="H25" s="7">
        <f t="shared" si="37"/>
        <v>3.5662339668364202</v>
      </c>
      <c r="I25" s="7">
        <f t="shared" si="28"/>
        <v>0.15569978883230459</v>
      </c>
    </row>
    <row r="26" spans="1:20" ht="13.2" x14ac:dyDescent="0.25">
      <c r="A26" s="5" t="s">
        <v>19</v>
      </c>
      <c r="B26" s="5" t="s">
        <v>18</v>
      </c>
      <c r="C26" s="4" t="str">
        <f t="shared" si="25"/>
        <v>Dec</v>
      </c>
      <c r="D26" s="12" t="str">
        <f t="shared" si="26"/>
        <v>Dec-Stdev</v>
      </c>
      <c r="E26" s="6">
        <v>4.0999999999999996</v>
      </c>
      <c r="F26" s="7">
        <f t="shared" ref="F26:H26" si="38">F25</f>
        <v>4.0333333333333341</v>
      </c>
      <c r="G26" s="7">
        <f t="shared" si="38"/>
        <v>4.500432699830248</v>
      </c>
      <c r="H26" s="7">
        <f t="shared" si="38"/>
        <v>3.5662339668364202</v>
      </c>
      <c r="I26" s="7">
        <f t="shared" si="28"/>
        <v>0.15569978883230459</v>
      </c>
    </row>
  </sheetData>
  <mergeCells count="2">
    <mergeCell ref="M1:T1"/>
    <mergeCell ref="M2:T24"/>
  </mergeCells>
  <printOptions horizontalCentered="1" gridLines="1"/>
  <pageMargins left="0.7" right="0.7" top="0.75" bottom="0.75" header="0" footer="0"/>
  <pageSetup fitToHeight="0" pageOrder="overThenDown" orientation="portrait" cellComments="atEnd"/>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D1000"/>
  <sheetViews>
    <sheetView showGridLines="0" workbookViewId="0">
      <selection sqref="A1:D1048576"/>
    </sheetView>
  </sheetViews>
  <sheetFormatPr defaultColWidth="12.6640625" defaultRowHeight="15.75" customHeight="1" x14ac:dyDescent="0.25"/>
  <cols>
    <col min="1" max="1" width="9.77734375" bestFit="1" customWidth="1"/>
    <col min="2" max="2" width="6" bestFit="1" customWidth="1"/>
    <col min="3" max="3" width="27.44140625" bestFit="1" customWidth="1"/>
    <col min="4" max="4" width="23" bestFit="1" customWidth="1"/>
    <col min="5" max="5" width="3.21875" customWidth="1"/>
  </cols>
  <sheetData>
    <row r="1" spans="1:4" x14ac:dyDescent="0.25">
      <c r="A1" s="1" t="s">
        <v>24</v>
      </c>
      <c r="B1" s="3" t="s">
        <v>2</v>
      </c>
      <c r="C1" s="3" t="s">
        <v>25</v>
      </c>
      <c r="D1" s="3" t="s">
        <v>26</v>
      </c>
    </row>
    <row r="2" spans="1:4" x14ac:dyDescent="0.25">
      <c r="A2" s="5" t="s">
        <v>10</v>
      </c>
      <c r="B2" s="6" t="str">
        <f t="shared" ref="B2:B13" si="0">LEFT(A2,3)</f>
        <v>Jan</v>
      </c>
      <c r="C2" s="6">
        <v>3.7</v>
      </c>
      <c r="D2" s="13" t="s">
        <v>27</v>
      </c>
    </row>
    <row r="3" spans="1:4" x14ac:dyDescent="0.25">
      <c r="A3" s="5" t="s">
        <v>11</v>
      </c>
      <c r="B3" s="6" t="str">
        <f t="shared" si="0"/>
        <v>Feb</v>
      </c>
      <c r="C3" s="6">
        <v>3.9</v>
      </c>
      <c r="D3" s="4"/>
    </row>
    <row r="4" spans="1:4" x14ac:dyDescent="0.25">
      <c r="A4" s="5" t="s">
        <v>12</v>
      </c>
      <c r="B4" s="6" t="str">
        <f t="shared" si="0"/>
        <v>Mar</v>
      </c>
      <c r="C4" s="6">
        <v>3.9</v>
      </c>
      <c r="D4" s="4"/>
    </row>
    <row r="5" spans="1:4" x14ac:dyDescent="0.25">
      <c r="A5" s="5" t="s">
        <v>13</v>
      </c>
      <c r="B5" s="6" t="str">
        <f t="shared" si="0"/>
        <v>Apr</v>
      </c>
      <c r="C5" s="6">
        <v>3.9</v>
      </c>
      <c r="D5" s="4"/>
    </row>
    <row r="6" spans="1:4" x14ac:dyDescent="0.25">
      <c r="A6" s="5" t="s">
        <v>14</v>
      </c>
      <c r="B6" s="6" t="str">
        <f t="shared" si="0"/>
        <v>May</v>
      </c>
      <c r="C6" s="8">
        <v>4</v>
      </c>
      <c r="D6" s="4"/>
    </row>
    <row r="7" spans="1:4" x14ac:dyDescent="0.25">
      <c r="A7" s="9">
        <v>45444</v>
      </c>
      <c r="B7" s="6" t="str">
        <f t="shared" si="0"/>
        <v>454</v>
      </c>
      <c r="C7" s="6">
        <v>4.0999999999999996</v>
      </c>
      <c r="D7" s="4"/>
    </row>
    <row r="8" spans="1:4" x14ac:dyDescent="0.25">
      <c r="A8" s="9">
        <v>45474</v>
      </c>
      <c r="B8" s="6" t="str">
        <f t="shared" si="0"/>
        <v>454</v>
      </c>
      <c r="C8" s="6">
        <v>4.2</v>
      </c>
      <c r="D8" s="4"/>
    </row>
    <row r="9" spans="1:4" x14ac:dyDescent="0.25">
      <c r="A9" s="5" t="s">
        <v>15</v>
      </c>
      <c r="B9" s="6" t="str">
        <f t="shared" si="0"/>
        <v>Aug</v>
      </c>
      <c r="C9" s="6">
        <v>4.2</v>
      </c>
      <c r="D9" s="4"/>
    </row>
    <row r="10" spans="1:4" x14ac:dyDescent="0.25">
      <c r="A10" s="9">
        <v>45536</v>
      </c>
      <c r="B10" s="6" t="str">
        <f t="shared" si="0"/>
        <v>455</v>
      </c>
      <c r="C10" s="6">
        <v>4.0999999999999996</v>
      </c>
      <c r="D10" s="4"/>
    </row>
    <row r="11" spans="1:4" x14ac:dyDescent="0.25">
      <c r="A11" s="5" t="s">
        <v>16</v>
      </c>
      <c r="B11" s="6" t="str">
        <f t="shared" si="0"/>
        <v>Oct</v>
      </c>
      <c r="C11" s="6">
        <v>4.0999999999999996</v>
      </c>
      <c r="D11" s="4"/>
    </row>
    <row r="12" spans="1:4" x14ac:dyDescent="0.25">
      <c r="A12" s="5" t="s">
        <v>17</v>
      </c>
      <c r="B12" s="6" t="str">
        <f t="shared" si="0"/>
        <v>Nov</v>
      </c>
      <c r="C12" s="6">
        <v>4.2</v>
      </c>
      <c r="D12" s="4"/>
    </row>
    <row r="13" spans="1:4" x14ac:dyDescent="0.25">
      <c r="A13" s="5" t="s">
        <v>18</v>
      </c>
      <c r="B13" s="6" t="str">
        <f t="shared" si="0"/>
        <v>Dec</v>
      </c>
      <c r="C13" s="6">
        <v>4.0999999999999996</v>
      </c>
      <c r="D13" s="4"/>
    </row>
    <row r="14" spans="1:4" x14ac:dyDescent="0.25">
      <c r="A14" s="14"/>
      <c r="C14" s="12"/>
    </row>
    <row r="15" spans="1:4" x14ac:dyDescent="0.25">
      <c r="A15" s="14"/>
      <c r="C15" s="12"/>
    </row>
    <row r="16" spans="1:4" x14ac:dyDescent="0.25">
      <c r="A16" s="14"/>
      <c r="C16" s="12"/>
    </row>
    <row r="17" spans="1:3" x14ac:dyDescent="0.25">
      <c r="A17" s="14"/>
      <c r="C17" s="12"/>
    </row>
    <row r="18" spans="1:3" x14ac:dyDescent="0.25">
      <c r="A18" s="14"/>
      <c r="C18" s="12"/>
    </row>
    <row r="19" spans="1:3" x14ac:dyDescent="0.25">
      <c r="A19" s="14"/>
      <c r="C19" s="12"/>
    </row>
    <row r="20" spans="1:3" x14ac:dyDescent="0.25">
      <c r="A20" s="14"/>
      <c r="C20" s="12"/>
    </row>
    <row r="21" spans="1:3" x14ac:dyDescent="0.25">
      <c r="A21" s="14"/>
      <c r="C21" s="12"/>
    </row>
    <row r="22" spans="1:3" x14ac:dyDescent="0.25">
      <c r="A22" s="14"/>
      <c r="C22" s="12"/>
    </row>
    <row r="23" spans="1:3" x14ac:dyDescent="0.25">
      <c r="A23" s="14"/>
      <c r="C23" s="12"/>
    </row>
    <row r="24" spans="1:3" x14ac:dyDescent="0.25">
      <c r="A24" s="14"/>
      <c r="C24" s="12"/>
    </row>
    <row r="25" spans="1:3" x14ac:dyDescent="0.25">
      <c r="A25" s="14"/>
      <c r="C25" s="12"/>
    </row>
    <row r="26" spans="1:3" x14ac:dyDescent="0.25">
      <c r="A26" s="14"/>
      <c r="C26" s="12"/>
    </row>
    <row r="27" spans="1:3" x14ac:dyDescent="0.25">
      <c r="A27" s="14"/>
      <c r="C27" s="12"/>
    </row>
    <row r="28" spans="1:3" x14ac:dyDescent="0.25">
      <c r="A28" s="14"/>
      <c r="C28" s="12"/>
    </row>
    <row r="29" spans="1:3" x14ac:dyDescent="0.25">
      <c r="A29" s="14"/>
      <c r="C29" s="12"/>
    </row>
    <row r="30" spans="1:3" x14ac:dyDescent="0.25">
      <c r="A30" s="14"/>
      <c r="C30" s="12"/>
    </row>
    <row r="31" spans="1:3" x14ac:dyDescent="0.25">
      <c r="A31" s="14"/>
      <c r="C31" s="12"/>
    </row>
    <row r="32" spans="1:3" x14ac:dyDescent="0.25">
      <c r="A32" s="14"/>
      <c r="C32" s="12"/>
    </row>
    <row r="33" spans="1:3" x14ac:dyDescent="0.25">
      <c r="A33" s="14"/>
      <c r="C33" s="12"/>
    </row>
    <row r="34" spans="1:3" x14ac:dyDescent="0.25">
      <c r="A34" s="14"/>
      <c r="C34" s="12"/>
    </row>
    <row r="35" spans="1:3" x14ac:dyDescent="0.25">
      <c r="A35" s="14"/>
      <c r="C35" s="12"/>
    </row>
    <row r="36" spans="1:3" x14ac:dyDescent="0.25">
      <c r="A36" s="14"/>
      <c r="C36" s="12"/>
    </row>
    <row r="37" spans="1:3" x14ac:dyDescent="0.25">
      <c r="A37" s="14"/>
      <c r="C37" s="12"/>
    </row>
    <row r="38" spans="1:3" x14ac:dyDescent="0.25">
      <c r="A38" s="14"/>
      <c r="C38" s="12"/>
    </row>
    <row r="39" spans="1:3" x14ac:dyDescent="0.25">
      <c r="A39" s="14"/>
      <c r="C39" s="12"/>
    </row>
    <row r="40" spans="1:3" x14ac:dyDescent="0.25">
      <c r="A40" s="14"/>
      <c r="C40" s="12"/>
    </row>
    <row r="41" spans="1:3" x14ac:dyDescent="0.25">
      <c r="A41" s="14"/>
      <c r="C41" s="12"/>
    </row>
    <row r="42" spans="1:3" x14ac:dyDescent="0.25">
      <c r="A42" s="14"/>
      <c r="C42" s="12"/>
    </row>
    <row r="43" spans="1:3" x14ac:dyDescent="0.25">
      <c r="A43" s="14"/>
      <c r="C43" s="12"/>
    </row>
    <row r="44" spans="1:3" x14ac:dyDescent="0.25">
      <c r="A44" s="14"/>
      <c r="C44" s="12"/>
    </row>
    <row r="45" spans="1:3" x14ac:dyDescent="0.25">
      <c r="A45" s="14"/>
      <c r="C45" s="12"/>
    </row>
    <row r="46" spans="1:3" x14ac:dyDescent="0.25">
      <c r="A46" s="14"/>
      <c r="C46" s="12"/>
    </row>
    <row r="47" spans="1:3" x14ac:dyDescent="0.25">
      <c r="A47" s="14"/>
      <c r="C47" s="12"/>
    </row>
    <row r="48" spans="1:3" x14ac:dyDescent="0.25">
      <c r="A48" s="14"/>
      <c r="C48" s="12"/>
    </row>
    <row r="49" spans="1:3" x14ac:dyDescent="0.25">
      <c r="A49" s="14"/>
      <c r="C49" s="12"/>
    </row>
    <row r="50" spans="1:3" x14ac:dyDescent="0.25">
      <c r="A50" s="14"/>
      <c r="C50" s="12"/>
    </row>
    <row r="51" spans="1:3" x14ac:dyDescent="0.25">
      <c r="A51" s="14"/>
      <c r="C51" s="12"/>
    </row>
    <row r="52" spans="1:3" x14ac:dyDescent="0.25">
      <c r="A52" s="14"/>
      <c r="C52" s="12"/>
    </row>
    <row r="53" spans="1:3" x14ac:dyDescent="0.25">
      <c r="A53" s="14"/>
      <c r="C53" s="12"/>
    </row>
    <row r="54" spans="1:3" x14ac:dyDescent="0.25">
      <c r="A54" s="14"/>
      <c r="C54" s="12"/>
    </row>
    <row r="55" spans="1:3" x14ac:dyDescent="0.25">
      <c r="A55" s="14"/>
      <c r="C55" s="12"/>
    </row>
    <row r="56" spans="1:3" x14ac:dyDescent="0.25">
      <c r="A56" s="14"/>
      <c r="C56" s="12"/>
    </row>
    <row r="57" spans="1:3" x14ac:dyDescent="0.25">
      <c r="A57" s="14"/>
      <c r="C57" s="12"/>
    </row>
    <row r="58" spans="1:3" x14ac:dyDescent="0.25">
      <c r="A58" s="14"/>
      <c r="C58" s="12"/>
    </row>
    <row r="59" spans="1:3" x14ac:dyDescent="0.25">
      <c r="A59" s="14"/>
      <c r="C59" s="12"/>
    </row>
    <row r="60" spans="1:3" x14ac:dyDescent="0.25">
      <c r="A60" s="14"/>
      <c r="C60" s="12"/>
    </row>
    <row r="61" spans="1:3" x14ac:dyDescent="0.25">
      <c r="A61" s="14"/>
      <c r="C61" s="12"/>
    </row>
    <row r="62" spans="1:3" x14ac:dyDescent="0.25">
      <c r="A62" s="14"/>
      <c r="C62" s="12"/>
    </row>
    <row r="63" spans="1:3" x14ac:dyDescent="0.25">
      <c r="A63" s="14"/>
      <c r="C63" s="12"/>
    </row>
    <row r="64" spans="1:3" x14ac:dyDescent="0.25">
      <c r="A64" s="14"/>
      <c r="C64" s="12"/>
    </row>
    <row r="65" spans="1:3" x14ac:dyDescent="0.25">
      <c r="A65" s="14"/>
      <c r="C65" s="12"/>
    </row>
    <row r="66" spans="1:3" x14ac:dyDescent="0.25">
      <c r="A66" s="14"/>
      <c r="C66" s="12"/>
    </row>
    <row r="67" spans="1:3" x14ac:dyDescent="0.25">
      <c r="A67" s="14"/>
      <c r="C67" s="12"/>
    </row>
    <row r="68" spans="1:3" x14ac:dyDescent="0.25">
      <c r="A68" s="14"/>
      <c r="C68" s="12"/>
    </row>
    <row r="69" spans="1:3" x14ac:dyDescent="0.25">
      <c r="A69" s="14"/>
      <c r="C69" s="12"/>
    </row>
    <row r="70" spans="1:3" x14ac:dyDescent="0.25">
      <c r="A70" s="14"/>
      <c r="C70" s="12"/>
    </row>
    <row r="71" spans="1:3" x14ac:dyDescent="0.25">
      <c r="A71" s="14"/>
      <c r="C71" s="12"/>
    </row>
    <row r="72" spans="1:3" x14ac:dyDescent="0.25">
      <c r="A72" s="14"/>
      <c r="C72" s="12"/>
    </row>
    <row r="73" spans="1:3" x14ac:dyDescent="0.25">
      <c r="A73" s="14"/>
      <c r="C73" s="12"/>
    </row>
    <row r="74" spans="1:3" x14ac:dyDescent="0.25">
      <c r="A74" s="14"/>
      <c r="C74" s="12"/>
    </row>
    <row r="75" spans="1:3" x14ac:dyDescent="0.25">
      <c r="A75" s="14"/>
      <c r="C75" s="12"/>
    </row>
    <row r="76" spans="1:3" x14ac:dyDescent="0.25">
      <c r="A76" s="14"/>
      <c r="C76" s="12"/>
    </row>
    <row r="77" spans="1:3" x14ac:dyDescent="0.25">
      <c r="A77" s="14"/>
      <c r="C77" s="12"/>
    </row>
    <row r="78" spans="1:3" x14ac:dyDescent="0.25">
      <c r="A78" s="14"/>
      <c r="C78" s="12"/>
    </row>
    <row r="79" spans="1:3" x14ac:dyDescent="0.25">
      <c r="A79" s="14"/>
      <c r="C79" s="12"/>
    </row>
    <row r="80" spans="1:3" x14ac:dyDescent="0.25">
      <c r="A80" s="14"/>
      <c r="C80" s="12"/>
    </row>
    <row r="81" spans="1:3" x14ac:dyDescent="0.25">
      <c r="A81" s="14"/>
      <c r="C81" s="12"/>
    </row>
    <row r="82" spans="1:3" x14ac:dyDescent="0.25">
      <c r="A82" s="14"/>
      <c r="C82" s="12"/>
    </row>
    <row r="83" spans="1:3" x14ac:dyDescent="0.25">
      <c r="A83" s="14"/>
      <c r="C83" s="12"/>
    </row>
    <row r="84" spans="1:3" x14ac:dyDescent="0.25">
      <c r="A84" s="14"/>
      <c r="C84" s="12"/>
    </row>
    <row r="85" spans="1:3" x14ac:dyDescent="0.25">
      <c r="A85" s="14"/>
      <c r="C85" s="12"/>
    </row>
    <row r="86" spans="1:3" x14ac:dyDescent="0.25">
      <c r="A86" s="14"/>
      <c r="C86" s="12"/>
    </row>
    <row r="87" spans="1:3" x14ac:dyDescent="0.25">
      <c r="A87" s="14"/>
      <c r="C87" s="12"/>
    </row>
    <row r="88" spans="1:3" x14ac:dyDescent="0.25">
      <c r="A88" s="14"/>
      <c r="C88" s="12"/>
    </row>
    <row r="89" spans="1:3" x14ac:dyDescent="0.25">
      <c r="A89" s="14"/>
      <c r="C89" s="12"/>
    </row>
    <row r="90" spans="1:3" x14ac:dyDescent="0.25">
      <c r="A90" s="14"/>
      <c r="C90" s="12"/>
    </row>
    <row r="91" spans="1:3" x14ac:dyDescent="0.25">
      <c r="A91" s="14"/>
      <c r="C91" s="12"/>
    </row>
    <row r="92" spans="1:3" x14ac:dyDescent="0.25">
      <c r="A92" s="14"/>
      <c r="C92" s="12"/>
    </row>
    <row r="93" spans="1:3" x14ac:dyDescent="0.25">
      <c r="A93" s="14"/>
      <c r="C93" s="12"/>
    </row>
    <row r="94" spans="1:3" x14ac:dyDescent="0.25">
      <c r="A94" s="14"/>
      <c r="C94" s="12"/>
    </row>
    <row r="95" spans="1:3" x14ac:dyDescent="0.25">
      <c r="A95" s="14"/>
      <c r="C95" s="12"/>
    </row>
    <row r="96" spans="1:3" x14ac:dyDescent="0.25">
      <c r="A96" s="14"/>
      <c r="C96" s="12"/>
    </row>
    <row r="97" spans="1:3" x14ac:dyDescent="0.25">
      <c r="A97" s="14"/>
      <c r="C97" s="12"/>
    </row>
    <row r="98" spans="1:3" x14ac:dyDescent="0.25">
      <c r="A98" s="14"/>
      <c r="C98" s="12"/>
    </row>
    <row r="99" spans="1:3" x14ac:dyDescent="0.25">
      <c r="A99" s="14"/>
      <c r="C99" s="12"/>
    </row>
    <row r="100" spans="1:3" x14ac:dyDescent="0.25">
      <c r="A100" s="14"/>
      <c r="C100" s="12"/>
    </row>
    <row r="101" spans="1:3" x14ac:dyDescent="0.25">
      <c r="A101" s="14"/>
      <c r="C101" s="12"/>
    </row>
    <row r="102" spans="1:3" x14ac:dyDescent="0.25">
      <c r="A102" s="14"/>
      <c r="C102" s="12"/>
    </row>
    <row r="103" spans="1:3" x14ac:dyDescent="0.25">
      <c r="A103" s="14"/>
      <c r="C103" s="12"/>
    </row>
    <row r="104" spans="1:3" x14ac:dyDescent="0.25">
      <c r="A104" s="14"/>
      <c r="C104" s="12"/>
    </row>
    <row r="105" spans="1:3" x14ac:dyDescent="0.25">
      <c r="A105" s="14"/>
      <c r="C105" s="12"/>
    </row>
    <row r="106" spans="1:3" x14ac:dyDescent="0.25">
      <c r="A106" s="14"/>
      <c r="C106" s="12"/>
    </row>
    <row r="107" spans="1:3" x14ac:dyDescent="0.25">
      <c r="A107" s="14"/>
      <c r="C107" s="12"/>
    </row>
    <row r="108" spans="1:3" x14ac:dyDescent="0.25">
      <c r="A108" s="14"/>
      <c r="C108" s="12"/>
    </row>
    <row r="109" spans="1:3" x14ac:dyDescent="0.25">
      <c r="A109" s="14"/>
      <c r="C109" s="12"/>
    </row>
    <row r="110" spans="1:3" x14ac:dyDescent="0.25">
      <c r="A110" s="14"/>
      <c r="C110" s="12"/>
    </row>
    <row r="111" spans="1:3" x14ac:dyDescent="0.25">
      <c r="A111" s="14"/>
      <c r="C111" s="12"/>
    </row>
    <row r="112" spans="1:3" x14ac:dyDescent="0.25">
      <c r="A112" s="14"/>
      <c r="C112" s="12"/>
    </row>
    <row r="113" spans="1:3" x14ac:dyDescent="0.25">
      <c r="A113" s="14"/>
      <c r="C113" s="12"/>
    </row>
    <row r="114" spans="1:3" x14ac:dyDescent="0.25">
      <c r="A114" s="14"/>
      <c r="C114" s="12"/>
    </row>
    <row r="115" spans="1:3" x14ac:dyDescent="0.25">
      <c r="A115" s="14"/>
      <c r="C115" s="12"/>
    </row>
    <row r="116" spans="1:3" x14ac:dyDescent="0.25">
      <c r="A116" s="14"/>
      <c r="C116" s="12"/>
    </row>
    <row r="117" spans="1:3" x14ac:dyDescent="0.25">
      <c r="A117" s="14"/>
      <c r="C117" s="12"/>
    </row>
    <row r="118" spans="1:3" x14ac:dyDescent="0.25">
      <c r="A118" s="14"/>
      <c r="C118" s="12"/>
    </row>
    <row r="119" spans="1:3" x14ac:dyDescent="0.25">
      <c r="A119" s="14"/>
      <c r="C119" s="12"/>
    </row>
    <row r="120" spans="1:3" x14ac:dyDescent="0.25">
      <c r="A120" s="14"/>
      <c r="C120" s="12"/>
    </row>
    <row r="121" spans="1:3" x14ac:dyDescent="0.25">
      <c r="A121" s="14"/>
      <c r="C121" s="12"/>
    </row>
    <row r="122" spans="1:3" x14ac:dyDescent="0.25">
      <c r="A122" s="14"/>
      <c r="C122" s="12"/>
    </row>
    <row r="123" spans="1:3" x14ac:dyDescent="0.25">
      <c r="A123" s="14"/>
      <c r="C123" s="12"/>
    </row>
    <row r="124" spans="1:3" x14ac:dyDescent="0.25">
      <c r="A124" s="14"/>
      <c r="C124" s="12"/>
    </row>
    <row r="125" spans="1:3" x14ac:dyDescent="0.25">
      <c r="A125" s="14"/>
      <c r="C125" s="12"/>
    </row>
    <row r="126" spans="1:3" x14ac:dyDescent="0.25">
      <c r="A126" s="14"/>
      <c r="C126" s="12"/>
    </row>
    <row r="127" spans="1:3" x14ac:dyDescent="0.25">
      <c r="A127" s="14"/>
      <c r="C127" s="12"/>
    </row>
    <row r="128" spans="1:3" x14ac:dyDescent="0.25">
      <c r="A128" s="14"/>
      <c r="C128" s="12"/>
    </row>
    <row r="129" spans="1:3" x14ac:dyDescent="0.25">
      <c r="A129" s="14"/>
      <c r="C129" s="12"/>
    </row>
    <row r="130" spans="1:3" x14ac:dyDescent="0.25">
      <c r="A130" s="14"/>
      <c r="C130" s="12"/>
    </row>
    <row r="131" spans="1:3" x14ac:dyDescent="0.25">
      <c r="A131" s="14"/>
      <c r="C131" s="12"/>
    </row>
    <row r="132" spans="1:3" x14ac:dyDescent="0.25">
      <c r="A132" s="14"/>
      <c r="C132" s="12"/>
    </row>
    <row r="133" spans="1:3" x14ac:dyDescent="0.25">
      <c r="A133" s="14"/>
      <c r="C133" s="12"/>
    </row>
    <row r="134" spans="1:3" x14ac:dyDescent="0.25">
      <c r="A134" s="14"/>
      <c r="C134" s="12"/>
    </row>
    <row r="135" spans="1:3" x14ac:dyDescent="0.25">
      <c r="A135" s="14"/>
      <c r="C135" s="12"/>
    </row>
    <row r="136" spans="1:3" x14ac:dyDescent="0.25">
      <c r="A136" s="14"/>
      <c r="C136" s="12"/>
    </row>
    <row r="137" spans="1:3" x14ac:dyDescent="0.25">
      <c r="A137" s="14"/>
      <c r="C137" s="12"/>
    </row>
    <row r="138" spans="1:3" x14ac:dyDescent="0.25">
      <c r="A138" s="14"/>
      <c r="C138" s="12"/>
    </row>
    <row r="139" spans="1:3" x14ac:dyDescent="0.25">
      <c r="A139" s="14"/>
      <c r="C139" s="12"/>
    </row>
    <row r="140" spans="1:3" x14ac:dyDescent="0.25">
      <c r="A140" s="14"/>
      <c r="C140" s="12"/>
    </row>
    <row r="141" spans="1:3" x14ac:dyDescent="0.25">
      <c r="A141" s="14"/>
      <c r="C141" s="12"/>
    </row>
    <row r="142" spans="1:3" x14ac:dyDescent="0.25">
      <c r="A142" s="14"/>
      <c r="C142" s="12"/>
    </row>
    <row r="143" spans="1:3" x14ac:dyDescent="0.25">
      <c r="A143" s="14"/>
      <c r="C143" s="12"/>
    </row>
    <row r="144" spans="1:3" x14ac:dyDescent="0.25">
      <c r="A144" s="14"/>
      <c r="C144" s="12"/>
    </row>
    <row r="145" spans="1:3" x14ac:dyDescent="0.25">
      <c r="A145" s="14"/>
      <c r="C145" s="12"/>
    </row>
    <row r="146" spans="1:3" x14ac:dyDescent="0.25">
      <c r="A146" s="14"/>
      <c r="C146" s="12"/>
    </row>
    <row r="147" spans="1:3" x14ac:dyDescent="0.25">
      <c r="A147" s="14"/>
      <c r="C147" s="12"/>
    </row>
    <row r="148" spans="1:3" x14ac:dyDescent="0.25">
      <c r="A148" s="14"/>
      <c r="C148" s="12"/>
    </row>
    <row r="149" spans="1:3" x14ac:dyDescent="0.25">
      <c r="A149" s="14"/>
      <c r="C149" s="12"/>
    </row>
    <row r="150" spans="1:3" x14ac:dyDescent="0.25">
      <c r="A150" s="14"/>
      <c r="C150" s="12"/>
    </row>
    <row r="151" spans="1:3" x14ac:dyDescent="0.25">
      <c r="A151" s="14"/>
      <c r="C151" s="12"/>
    </row>
    <row r="152" spans="1:3" x14ac:dyDescent="0.25">
      <c r="A152" s="14"/>
      <c r="C152" s="12"/>
    </row>
    <row r="153" spans="1:3" x14ac:dyDescent="0.25">
      <c r="A153" s="14"/>
      <c r="C153" s="12"/>
    </row>
    <row r="154" spans="1:3" x14ac:dyDescent="0.25">
      <c r="A154" s="14"/>
      <c r="C154" s="12"/>
    </row>
    <row r="155" spans="1:3" x14ac:dyDescent="0.25">
      <c r="A155" s="14"/>
      <c r="C155" s="12"/>
    </row>
    <row r="156" spans="1:3" x14ac:dyDescent="0.25">
      <c r="A156" s="14"/>
      <c r="C156" s="12"/>
    </row>
    <row r="157" spans="1:3" x14ac:dyDescent="0.25">
      <c r="A157" s="14"/>
      <c r="C157" s="12"/>
    </row>
    <row r="158" spans="1:3" x14ac:dyDescent="0.25">
      <c r="A158" s="14"/>
      <c r="C158" s="12"/>
    </row>
    <row r="159" spans="1:3" x14ac:dyDescent="0.25">
      <c r="A159" s="14"/>
      <c r="C159" s="12"/>
    </row>
    <row r="160" spans="1:3" x14ac:dyDescent="0.25">
      <c r="A160" s="14"/>
      <c r="C160" s="12"/>
    </row>
    <row r="161" spans="1:3" x14ac:dyDescent="0.25">
      <c r="A161" s="14"/>
      <c r="C161" s="12"/>
    </row>
    <row r="162" spans="1:3" x14ac:dyDescent="0.25">
      <c r="A162" s="14"/>
      <c r="C162" s="12"/>
    </row>
    <row r="163" spans="1:3" x14ac:dyDescent="0.25">
      <c r="A163" s="14"/>
      <c r="C163" s="12"/>
    </row>
    <row r="164" spans="1:3" x14ac:dyDescent="0.25">
      <c r="A164" s="14"/>
      <c r="C164" s="12"/>
    </row>
    <row r="165" spans="1:3" x14ac:dyDescent="0.25">
      <c r="A165" s="14"/>
      <c r="C165" s="12"/>
    </row>
    <row r="166" spans="1:3" x14ac:dyDescent="0.25">
      <c r="A166" s="14"/>
      <c r="C166" s="12"/>
    </row>
    <row r="167" spans="1:3" x14ac:dyDescent="0.25">
      <c r="A167" s="14"/>
      <c r="C167" s="12"/>
    </row>
    <row r="168" spans="1:3" x14ac:dyDescent="0.25">
      <c r="A168" s="14"/>
      <c r="C168" s="12"/>
    </row>
    <row r="169" spans="1:3" x14ac:dyDescent="0.25">
      <c r="A169" s="14"/>
      <c r="C169" s="12"/>
    </row>
    <row r="170" spans="1:3" x14ac:dyDescent="0.25">
      <c r="A170" s="14"/>
      <c r="C170" s="12"/>
    </row>
    <row r="171" spans="1:3" x14ac:dyDescent="0.25">
      <c r="A171" s="14"/>
      <c r="C171" s="12"/>
    </row>
    <row r="172" spans="1:3" x14ac:dyDescent="0.25">
      <c r="A172" s="14"/>
      <c r="C172" s="12"/>
    </row>
    <row r="173" spans="1:3" x14ac:dyDescent="0.25">
      <c r="A173" s="14"/>
      <c r="C173" s="12"/>
    </row>
    <row r="174" spans="1:3" x14ac:dyDescent="0.25">
      <c r="A174" s="14"/>
      <c r="C174" s="12"/>
    </row>
    <row r="175" spans="1:3" x14ac:dyDescent="0.25">
      <c r="A175" s="14"/>
      <c r="C175" s="12"/>
    </row>
    <row r="176" spans="1:3" x14ac:dyDescent="0.25">
      <c r="A176" s="14"/>
      <c r="C176" s="12"/>
    </row>
    <row r="177" spans="1:3" x14ac:dyDescent="0.25">
      <c r="A177" s="14"/>
      <c r="C177" s="12"/>
    </row>
    <row r="178" spans="1:3" x14ac:dyDescent="0.25">
      <c r="A178" s="14"/>
      <c r="C178" s="12"/>
    </row>
    <row r="179" spans="1:3" x14ac:dyDescent="0.25">
      <c r="A179" s="14"/>
      <c r="C179" s="12"/>
    </row>
    <row r="180" spans="1:3" x14ac:dyDescent="0.25">
      <c r="A180" s="14"/>
      <c r="C180" s="12"/>
    </row>
    <row r="181" spans="1:3" x14ac:dyDescent="0.25">
      <c r="A181" s="14"/>
      <c r="C181" s="12"/>
    </row>
    <row r="182" spans="1:3" x14ac:dyDescent="0.25">
      <c r="A182" s="14"/>
      <c r="C182" s="12"/>
    </row>
    <row r="183" spans="1:3" x14ac:dyDescent="0.25">
      <c r="A183" s="14"/>
      <c r="C183" s="12"/>
    </row>
    <row r="184" spans="1:3" x14ac:dyDescent="0.25">
      <c r="A184" s="14"/>
      <c r="C184" s="12"/>
    </row>
    <row r="185" spans="1:3" x14ac:dyDescent="0.25">
      <c r="A185" s="14"/>
      <c r="C185" s="12"/>
    </row>
    <row r="186" spans="1:3" x14ac:dyDescent="0.25">
      <c r="A186" s="14"/>
      <c r="C186" s="12"/>
    </row>
    <row r="187" spans="1:3" x14ac:dyDescent="0.25">
      <c r="A187" s="14"/>
      <c r="C187" s="12"/>
    </row>
    <row r="188" spans="1:3" x14ac:dyDescent="0.25">
      <c r="A188" s="14"/>
      <c r="C188" s="12"/>
    </row>
    <row r="189" spans="1:3" x14ac:dyDescent="0.25">
      <c r="A189" s="14"/>
      <c r="C189" s="12"/>
    </row>
    <row r="190" spans="1:3" x14ac:dyDescent="0.25">
      <c r="A190" s="14"/>
      <c r="C190" s="12"/>
    </row>
    <row r="191" spans="1:3" x14ac:dyDescent="0.25">
      <c r="A191" s="14"/>
      <c r="C191" s="12"/>
    </row>
    <row r="192" spans="1:3" x14ac:dyDescent="0.25">
      <c r="A192" s="14"/>
      <c r="C192" s="12"/>
    </row>
    <row r="193" spans="1:3" x14ac:dyDescent="0.25">
      <c r="A193" s="14"/>
      <c r="C193" s="12"/>
    </row>
    <row r="194" spans="1:3" x14ac:dyDescent="0.25">
      <c r="A194" s="14"/>
      <c r="C194" s="12"/>
    </row>
    <row r="195" spans="1:3" x14ac:dyDescent="0.25">
      <c r="A195" s="14"/>
      <c r="C195" s="12"/>
    </row>
    <row r="196" spans="1:3" x14ac:dyDescent="0.25">
      <c r="A196" s="14"/>
      <c r="C196" s="12"/>
    </row>
    <row r="197" spans="1:3" x14ac:dyDescent="0.25">
      <c r="A197" s="14"/>
      <c r="C197" s="12"/>
    </row>
    <row r="198" spans="1:3" x14ac:dyDescent="0.25">
      <c r="A198" s="14"/>
      <c r="C198" s="12"/>
    </row>
    <row r="199" spans="1:3" x14ac:dyDescent="0.25">
      <c r="A199" s="14"/>
      <c r="C199" s="12"/>
    </row>
    <row r="200" spans="1:3" x14ac:dyDescent="0.25">
      <c r="A200" s="14"/>
      <c r="C200" s="12"/>
    </row>
    <row r="201" spans="1:3" x14ac:dyDescent="0.25">
      <c r="A201" s="14"/>
      <c r="C201" s="12"/>
    </row>
    <row r="202" spans="1:3" x14ac:dyDescent="0.25">
      <c r="A202" s="14"/>
      <c r="C202" s="12"/>
    </row>
    <row r="203" spans="1:3" x14ac:dyDescent="0.25">
      <c r="A203" s="14"/>
      <c r="C203" s="12"/>
    </row>
    <row r="204" spans="1:3" x14ac:dyDescent="0.25">
      <c r="A204" s="14"/>
      <c r="C204" s="12"/>
    </row>
    <row r="205" spans="1:3" x14ac:dyDescent="0.25">
      <c r="A205" s="14"/>
      <c r="C205" s="12"/>
    </row>
    <row r="206" spans="1:3" x14ac:dyDescent="0.25">
      <c r="A206" s="14"/>
      <c r="C206" s="12"/>
    </row>
    <row r="207" spans="1:3" x14ac:dyDescent="0.25">
      <c r="A207" s="14"/>
      <c r="C207" s="12"/>
    </row>
    <row r="208" spans="1:3" x14ac:dyDescent="0.25">
      <c r="A208" s="14"/>
      <c r="C208" s="12"/>
    </row>
    <row r="209" spans="1:3" x14ac:dyDescent="0.25">
      <c r="A209" s="14"/>
      <c r="C209" s="12"/>
    </row>
    <row r="210" spans="1:3" x14ac:dyDescent="0.25">
      <c r="A210" s="14"/>
      <c r="C210" s="12"/>
    </row>
    <row r="211" spans="1:3" x14ac:dyDescent="0.25">
      <c r="A211" s="14"/>
      <c r="C211" s="12"/>
    </row>
    <row r="212" spans="1:3" x14ac:dyDescent="0.25">
      <c r="A212" s="14"/>
      <c r="C212" s="12"/>
    </row>
    <row r="213" spans="1:3" x14ac:dyDescent="0.25">
      <c r="A213" s="14"/>
      <c r="C213" s="12"/>
    </row>
    <row r="214" spans="1:3" x14ac:dyDescent="0.25">
      <c r="A214" s="14"/>
      <c r="C214" s="12"/>
    </row>
    <row r="215" spans="1:3" x14ac:dyDescent="0.25">
      <c r="A215" s="14"/>
      <c r="C215" s="12"/>
    </row>
    <row r="216" spans="1:3" x14ac:dyDescent="0.25">
      <c r="A216" s="14"/>
      <c r="C216" s="12"/>
    </row>
    <row r="217" spans="1:3" x14ac:dyDescent="0.25">
      <c r="A217" s="14"/>
      <c r="C217" s="12"/>
    </row>
    <row r="218" spans="1:3" x14ac:dyDescent="0.25">
      <c r="A218" s="14"/>
      <c r="C218" s="12"/>
    </row>
    <row r="219" spans="1:3" x14ac:dyDescent="0.25">
      <c r="A219" s="14"/>
      <c r="C219" s="12"/>
    </row>
    <row r="220" spans="1:3" x14ac:dyDescent="0.25">
      <c r="A220" s="14"/>
      <c r="C220" s="12"/>
    </row>
    <row r="221" spans="1:3" x14ac:dyDescent="0.25">
      <c r="A221" s="14"/>
      <c r="C221" s="12"/>
    </row>
    <row r="222" spans="1:3" x14ac:dyDescent="0.25">
      <c r="A222" s="14"/>
      <c r="C222" s="12"/>
    </row>
    <row r="223" spans="1:3" x14ac:dyDescent="0.25">
      <c r="A223" s="14"/>
      <c r="C223" s="12"/>
    </row>
    <row r="224" spans="1:3" x14ac:dyDescent="0.25">
      <c r="A224" s="14"/>
      <c r="C224" s="12"/>
    </row>
    <row r="225" spans="1:3" x14ac:dyDescent="0.25">
      <c r="A225" s="14"/>
      <c r="C225" s="12"/>
    </row>
    <row r="226" spans="1:3" x14ac:dyDescent="0.25">
      <c r="A226" s="14"/>
      <c r="C226" s="12"/>
    </row>
    <row r="227" spans="1:3" x14ac:dyDescent="0.25">
      <c r="A227" s="14"/>
      <c r="C227" s="12"/>
    </row>
    <row r="228" spans="1:3" x14ac:dyDescent="0.25">
      <c r="A228" s="14"/>
      <c r="C228" s="12"/>
    </row>
    <row r="229" spans="1:3" x14ac:dyDescent="0.25">
      <c r="A229" s="14"/>
      <c r="C229" s="12"/>
    </row>
    <row r="230" spans="1:3" x14ac:dyDescent="0.25">
      <c r="A230" s="14"/>
      <c r="C230" s="12"/>
    </row>
    <row r="231" spans="1:3" x14ac:dyDescent="0.25">
      <c r="A231" s="14"/>
      <c r="C231" s="12"/>
    </row>
    <row r="232" spans="1:3" x14ac:dyDescent="0.25">
      <c r="A232" s="14"/>
      <c r="C232" s="12"/>
    </row>
    <row r="233" spans="1:3" x14ac:dyDescent="0.25">
      <c r="A233" s="14"/>
      <c r="C233" s="12"/>
    </row>
    <row r="234" spans="1:3" x14ac:dyDescent="0.25">
      <c r="A234" s="14"/>
      <c r="C234" s="12"/>
    </row>
    <row r="235" spans="1:3" x14ac:dyDescent="0.25">
      <c r="A235" s="14"/>
      <c r="C235" s="12"/>
    </row>
    <row r="236" spans="1:3" x14ac:dyDescent="0.25">
      <c r="A236" s="14"/>
      <c r="C236" s="12"/>
    </row>
    <row r="237" spans="1:3" x14ac:dyDescent="0.25">
      <c r="A237" s="14"/>
      <c r="C237" s="12"/>
    </row>
    <row r="238" spans="1:3" x14ac:dyDescent="0.25">
      <c r="A238" s="14"/>
      <c r="C238" s="12"/>
    </row>
    <row r="239" spans="1:3" x14ac:dyDescent="0.25">
      <c r="A239" s="14"/>
      <c r="C239" s="12"/>
    </row>
    <row r="240" spans="1:3" x14ac:dyDescent="0.25">
      <c r="A240" s="14"/>
      <c r="C240" s="12"/>
    </row>
    <row r="241" spans="1:3" x14ac:dyDescent="0.25">
      <c r="A241" s="14"/>
      <c r="C241" s="12"/>
    </row>
    <row r="242" spans="1:3" x14ac:dyDescent="0.25">
      <c r="A242" s="14"/>
      <c r="C242" s="12"/>
    </row>
    <row r="243" spans="1:3" x14ac:dyDescent="0.25">
      <c r="A243" s="14"/>
      <c r="C243" s="12"/>
    </row>
    <row r="244" spans="1:3" x14ac:dyDescent="0.25">
      <c r="A244" s="14"/>
      <c r="C244" s="12"/>
    </row>
    <row r="245" spans="1:3" x14ac:dyDescent="0.25">
      <c r="A245" s="14"/>
      <c r="C245" s="12"/>
    </row>
    <row r="246" spans="1:3" x14ac:dyDescent="0.25">
      <c r="A246" s="14"/>
      <c r="C246" s="12"/>
    </row>
    <row r="247" spans="1:3" x14ac:dyDescent="0.25">
      <c r="A247" s="14"/>
      <c r="C247" s="12"/>
    </row>
    <row r="248" spans="1:3" x14ac:dyDescent="0.25">
      <c r="A248" s="14"/>
      <c r="C248" s="12"/>
    </row>
    <row r="249" spans="1:3" x14ac:dyDescent="0.25">
      <c r="A249" s="14"/>
      <c r="C249" s="12"/>
    </row>
    <row r="250" spans="1:3" x14ac:dyDescent="0.25">
      <c r="A250" s="14"/>
      <c r="C250" s="12"/>
    </row>
    <row r="251" spans="1:3" x14ac:dyDescent="0.25">
      <c r="A251" s="14"/>
      <c r="C251" s="12"/>
    </row>
    <row r="252" spans="1:3" x14ac:dyDescent="0.25">
      <c r="A252" s="14"/>
      <c r="C252" s="12"/>
    </row>
    <row r="253" spans="1:3" x14ac:dyDescent="0.25">
      <c r="A253" s="14"/>
      <c r="C253" s="12"/>
    </row>
    <row r="254" spans="1:3" x14ac:dyDescent="0.25">
      <c r="A254" s="14"/>
      <c r="C254" s="12"/>
    </row>
    <row r="255" spans="1:3" x14ac:dyDescent="0.25">
      <c r="A255" s="14"/>
      <c r="C255" s="12"/>
    </row>
    <row r="256" spans="1:3" x14ac:dyDescent="0.25">
      <c r="A256" s="14"/>
      <c r="C256" s="12"/>
    </row>
    <row r="257" spans="1:3" x14ac:dyDescent="0.25">
      <c r="A257" s="14"/>
      <c r="C257" s="12"/>
    </row>
    <row r="258" spans="1:3" x14ac:dyDescent="0.25">
      <c r="A258" s="14"/>
      <c r="C258" s="12"/>
    </row>
    <row r="259" spans="1:3" x14ac:dyDescent="0.25">
      <c r="A259" s="14"/>
      <c r="C259" s="12"/>
    </row>
    <row r="260" spans="1:3" x14ac:dyDescent="0.25">
      <c r="A260" s="14"/>
      <c r="C260" s="12"/>
    </row>
    <row r="261" spans="1:3" x14ac:dyDescent="0.25">
      <c r="A261" s="14"/>
      <c r="C261" s="12"/>
    </row>
    <row r="262" spans="1:3" x14ac:dyDescent="0.25">
      <c r="A262" s="14"/>
      <c r="C262" s="12"/>
    </row>
    <row r="263" spans="1:3" x14ac:dyDescent="0.25">
      <c r="A263" s="14"/>
      <c r="C263" s="12"/>
    </row>
    <row r="264" spans="1:3" x14ac:dyDescent="0.25">
      <c r="A264" s="14"/>
      <c r="C264" s="12"/>
    </row>
    <row r="265" spans="1:3" x14ac:dyDescent="0.25">
      <c r="A265" s="14"/>
      <c r="C265" s="12"/>
    </row>
    <row r="266" spans="1:3" x14ac:dyDescent="0.25">
      <c r="A266" s="14"/>
      <c r="C266" s="12"/>
    </row>
    <row r="267" spans="1:3" x14ac:dyDescent="0.25">
      <c r="A267" s="14"/>
      <c r="C267" s="12"/>
    </row>
    <row r="268" spans="1:3" x14ac:dyDescent="0.25">
      <c r="A268" s="14"/>
      <c r="C268" s="12"/>
    </row>
    <row r="269" spans="1:3" x14ac:dyDescent="0.25">
      <c r="A269" s="14"/>
      <c r="C269" s="12"/>
    </row>
    <row r="270" spans="1:3" x14ac:dyDescent="0.25">
      <c r="A270" s="14"/>
      <c r="C270" s="12"/>
    </row>
    <row r="271" spans="1:3" x14ac:dyDescent="0.25">
      <c r="A271" s="14"/>
      <c r="C271" s="12"/>
    </row>
    <row r="272" spans="1:3" x14ac:dyDescent="0.25">
      <c r="A272" s="14"/>
      <c r="C272" s="12"/>
    </row>
    <row r="273" spans="1:3" x14ac:dyDescent="0.25">
      <c r="A273" s="14"/>
      <c r="C273" s="12"/>
    </row>
    <row r="274" spans="1:3" x14ac:dyDescent="0.25">
      <c r="A274" s="14"/>
      <c r="C274" s="12"/>
    </row>
    <row r="275" spans="1:3" x14ac:dyDescent="0.25">
      <c r="A275" s="14"/>
      <c r="C275" s="12"/>
    </row>
    <row r="276" spans="1:3" x14ac:dyDescent="0.25">
      <c r="A276" s="14"/>
      <c r="C276" s="12"/>
    </row>
    <row r="277" spans="1:3" x14ac:dyDescent="0.25">
      <c r="A277" s="14"/>
      <c r="C277" s="12"/>
    </row>
    <row r="278" spans="1:3" x14ac:dyDescent="0.25">
      <c r="A278" s="14"/>
      <c r="C278" s="12"/>
    </row>
    <row r="279" spans="1:3" x14ac:dyDescent="0.25">
      <c r="A279" s="14"/>
      <c r="C279" s="12"/>
    </row>
    <row r="280" spans="1:3" x14ac:dyDescent="0.25">
      <c r="A280" s="14"/>
      <c r="C280" s="12"/>
    </row>
    <row r="281" spans="1:3" x14ac:dyDescent="0.25">
      <c r="A281" s="14"/>
      <c r="C281" s="12"/>
    </row>
    <row r="282" spans="1:3" x14ac:dyDescent="0.25">
      <c r="A282" s="14"/>
      <c r="C282" s="12"/>
    </row>
    <row r="283" spans="1:3" x14ac:dyDescent="0.25">
      <c r="A283" s="14"/>
      <c r="C283" s="12"/>
    </row>
    <row r="284" spans="1:3" x14ac:dyDescent="0.25">
      <c r="A284" s="14"/>
      <c r="C284" s="12"/>
    </row>
    <row r="285" spans="1:3" x14ac:dyDescent="0.25">
      <c r="A285" s="14"/>
      <c r="C285" s="12"/>
    </row>
    <row r="286" spans="1:3" x14ac:dyDescent="0.25">
      <c r="A286" s="14"/>
      <c r="C286" s="12"/>
    </row>
    <row r="287" spans="1:3" x14ac:dyDescent="0.25">
      <c r="A287" s="14"/>
      <c r="C287" s="12"/>
    </row>
    <row r="288" spans="1:3" x14ac:dyDescent="0.25">
      <c r="A288" s="14"/>
      <c r="C288" s="12"/>
    </row>
    <row r="289" spans="1:3" x14ac:dyDescent="0.25">
      <c r="A289" s="14"/>
      <c r="C289" s="12"/>
    </row>
    <row r="290" spans="1:3" x14ac:dyDescent="0.25">
      <c r="A290" s="14"/>
      <c r="C290" s="12"/>
    </row>
    <row r="291" spans="1:3" x14ac:dyDescent="0.25">
      <c r="A291" s="14"/>
      <c r="C291" s="12"/>
    </row>
    <row r="292" spans="1:3" x14ac:dyDescent="0.25">
      <c r="A292" s="14"/>
      <c r="C292" s="12"/>
    </row>
    <row r="293" spans="1:3" x14ac:dyDescent="0.25">
      <c r="A293" s="14"/>
      <c r="C293" s="12"/>
    </row>
    <row r="294" spans="1:3" x14ac:dyDescent="0.25">
      <c r="A294" s="14"/>
      <c r="C294" s="12"/>
    </row>
    <row r="295" spans="1:3" x14ac:dyDescent="0.25">
      <c r="A295" s="14"/>
      <c r="C295" s="12"/>
    </row>
    <row r="296" spans="1:3" x14ac:dyDescent="0.25">
      <c r="A296" s="14"/>
      <c r="C296" s="12"/>
    </row>
    <row r="297" spans="1:3" x14ac:dyDescent="0.25">
      <c r="A297" s="14"/>
      <c r="C297" s="12"/>
    </row>
    <row r="298" spans="1:3" x14ac:dyDescent="0.25">
      <c r="A298" s="14"/>
      <c r="C298" s="12"/>
    </row>
    <row r="299" spans="1:3" x14ac:dyDescent="0.25">
      <c r="A299" s="14"/>
      <c r="C299" s="12"/>
    </row>
    <row r="300" spans="1:3" x14ac:dyDescent="0.25">
      <c r="A300" s="14"/>
      <c r="C300" s="12"/>
    </row>
    <row r="301" spans="1:3" x14ac:dyDescent="0.25">
      <c r="A301" s="14"/>
      <c r="C301" s="12"/>
    </row>
    <row r="302" spans="1:3" x14ac:dyDescent="0.25">
      <c r="A302" s="14"/>
      <c r="C302" s="12"/>
    </row>
    <row r="303" spans="1:3" x14ac:dyDescent="0.25">
      <c r="A303" s="14"/>
      <c r="C303" s="12"/>
    </row>
    <row r="304" spans="1:3" x14ac:dyDescent="0.25">
      <c r="A304" s="14"/>
      <c r="C304" s="12"/>
    </row>
    <row r="305" spans="1:3" x14ac:dyDescent="0.25">
      <c r="A305" s="14"/>
      <c r="C305" s="12"/>
    </row>
    <row r="306" spans="1:3" x14ac:dyDescent="0.25">
      <c r="A306" s="14"/>
      <c r="C306" s="12"/>
    </row>
    <row r="307" spans="1:3" x14ac:dyDescent="0.25">
      <c r="A307" s="14"/>
      <c r="C307" s="12"/>
    </row>
    <row r="308" spans="1:3" x14ac:dyDescent="0.25">
      <c r="A308" s="14"/>
      <c r="C308" s="12"/>
    </row>
    <row r="309" spans="1:3" x14ac:dyDescent="0.25">
      <c r="A309" s="14"/>
      <c r="C309" s="12"/>
    </row>
    <row r="310" spans="1:3" x14ac:dyDescent="0.25">
      <c r="A310" s="14"/>
      <c r="C310" s="12"/>
    </row>
    <row r="311" spans="1:3" x14ac:dyDescent="0.25">
      <c r="A311" s="14"/>
      <c r="C311" s="12"/>
    </row>
    <row r="312" spans="1:3" x14ac:dyDescent="0.25">
      <c r="A312" s="14"/>
      <c r="C312" s="12"/>
    </row>
    <row r="313" spans="1:3" x14ac:dyDescent="0.25">
      <c r="A313" s="14"/>
      <c r="C313" s="12"/>
    </row>
    <row r="314" spans="1:3" x14ac:dyDescent="0.25">
      <c r="A314" s="14"/>
      <c r="C314" s="12"/>
    </row>
    <row r="315" spans="1:3" x14ac:dyDescent="0.25">
      <c r="A315" s="14"/>
      <c r="C315" s="12"/>
    </row>
    <row r="316" spans="1:3" x14ac:dyDescent="0.25">
      <c r="A316" s="14"/>
      <c r="C316" s="12"/>
    </row>
    <row r="317" spans="1:3" x14ac:dyDescent="0.25">
      <c r="A317" s="14"/>
      <c r="C317" s="12"/>
    </row>
    <row r="318" spans="1:3" x14ac:dyDescent="0.25">
      <c r="A318" s="14"/>
      <c r="C318" s="12"/>
    </row>
    <row r="319" spans="1:3" x14ac:dyDescent="0.25">
      <c r="A319" s="14"/>
      <c r="C319" s="12"/>
    </row>
    <row r="320" spans="1:3" x14ac:dyDescent="0.25">
      <c r="A320" s="14"/>
      <c r="C320" s="12"/>
    </row>
    <row r="321" spans="1:3" x14ac:dyDescent="0.25">
      <c r="A321" s="14"/>
      <c r="C321" s="12"/>
    </row>
    <row r="322" spans="1:3" x14ac:dyDescent="0.25">
      <c r="A322" s="14"/>
      <c r="C322" s="12"/>
    </row>
    <row r="323" spans="1:3" x14ac:dyDescent="0.25">
      <c r="A323" s="14"/>
      <c r="C323" s="12"/>
    </row>
    <row r="324" spans="1:3" x14ac:dyDescent="0.25">
      <c r="A324" s="14"/>
      <c r="C324" s="12"/>
    </row>
    <row r="325" spans="1:3" x14ac:dyDescent="0.25">
      <c r="A325" s="14"/>
      <c r="C325" s="12"/>
    </row>
    <row r="326" spans="1:3" x14ac:dyDescent="0.25">
      <c r="A326" s="14"/>
      <c r="C326" s="12"/>
    </row>
    <row r="327" spans="1:3" x14ac:dyDescent="0.25">
      <c r="A327" s="14"/>
      <c r="C327" s="12"/>
    </row>
    <row r="328" spans="1:3" x14ac:dyDescent="0.25">
      <c r="A328" s="14"/>
      <c r="C328" s="12"/>
    </row>
    <row r="329" spans="1:3" x14ac:dyDescent="0.25">
      <c r="A329" s="14"/>
      <c r="C329" s="12"/>
    </row>
    <row r="330" spans="1:3" x14ac:dyDescent="0.25">
      <c r="A330" s="14"/>
      <c r="C330" s="12"/>
    </row>
    <row r="331" spans="1:3" x14ac:dyDescent="0.25">
      <c r="A331" s="14"/>
      <c r="C331" s="12"/>
    </row>
    <row r="332" spans="1:3" x14ac:dyDescent="0.25">
      <c r="A332" s="14"/>
      <c r="C332" s="12"/>
    </row>
    <row r="333" spans="1:3" x14ac:dyDescent="0.25">
      <c r="A333" s="14"/>
      <c r="C333" s="12"/>
    </row>
    <row r="334" spans="1:3" x14ac:dyDescent="0.25">
      <c r="A334" s="14"/>
      <c r="C334" s="12"/>
    </row>
    <row r="335" spans="1:3" x14ac:dyDescent="0.25">
      <c r="A335" s="14"/>
      <c r="C335" s="12"/>
    </row>
    <row r="336" spans="1:3" x14ac:dyDescent="0.25">
      <c r="A336" s="14"/>
      <c r="C336" s="12"/>
    </row>
    <row r="337" spans="1:3" x14ac:dyDescent="0.25">
      <c r="A337" s="14"/>
      <c r="C337" s="12"/>
    </row>
    <row r="338" spans="1:3" x14ac:dyDescent="0.25">
      <c r="A338" s="14"/>
      <c r="C338" s="12"/>
    </row>
    <row r="339" spans="1:3" x14ac:dyDescent="0.25">
      <c r="A339" s="14"/>
      <c r="C339" s="12"/>
    </row>
    <row r="340" spans="1:3" x14ac:dyDescent="0.25">
      <c r="A340" s="14"/>
      <c r="C340" s="12"/>
    </row>
    <row r="341" spans="1:3" x14ac:dyDescent="0.25">
      <c r="A341" s="14"/>
      <c r="C341" s="12"/>
    </row>
    <row r="342" spans="1:3" x14ac:dyDescent="0.25">
      <c r="A342" s="14"/>
      <c r="C342" s="12"/>
    </row>
    <row r="343" spans="1:3" x14ac:dyDescent="0.25">
      <c r="A343" s="14"/>
      <c r="C343" s="12"/>
    </row>
    <row r="344" spans="1:3" x14ac:dyDescent="0.25">
      <c r="A344" s="14"/>
      <c r="C344" s="12"/>
    </row>
    <row r="345" spans="1:3" x14ac:dyDescent="0.25">
      <c r="A345" s="14"/>
      <c r="C345" s="12"/>
    </row>
    <row r="346" spans="1:3" x14ac:dyDescent="0.25">
      <c r="A346" s="14"/>
      <c r="C346" s="12"/>
    </row>
    <row r="347" spans="1:3" x14ac:dyDescent="0.25">
      <c r="A347" s="14"/>
      <c r="C347" s="12"/>
    </row>
    <row r="348" spans="1:3" x14ac:dyDescent="0.25">
      <c r="A348" s="14"/>
      <c r="C348" s="12"/>
    </row>
    <row r="349" spans="1:3" x14ac:dyDescent="0.25">
      <c r="A349" s="14"/>
      <c r="C349" s="12"/>
    </row>
    <row r="350" spans="1:3" x14ac:dyDescent="0.25">
      <c r="A350" s="14"/>
      <c r="C350" s="12"/>
    </row>
    <row r="351" spans="1:3" x14ac:dyDescent="0.25">
      <c r="A351" s="14"/>
      <c r="C351" s="12"/>
    </row>
    <row r="352" spans="1:3" x14ac:dyDescent="0.25">
      <c r="A352" s="14"/>
      <c r="C352" s="12"/>
    </row>
    <row r="353" spans="1:3" x14ac:dyDescent="0.25">
      <c r="A353" s="14"/>
      <c r="C353" s="12"/>
    </row>
    <row r="354" spans="1:3" x14ac:dyDescent="0.25">
      <c r="A354" s="14"/>
      <c r="C354" s="12"/>
    </row>
    <row r="355" spans="1:3" x14ac:dyDescent="0.25">
      <c r="A355" s="14"/>
      <c r="C355" s="12"/>
    </row>
    <row r="356" spans="1:3" x14ac:dyDescent="0.25">
      <c r="A356" s="14"/>
      <c r="C356" s="12"/>
    </row>
    <row r="357" spans="1:3" x14ac:dyDescent="0.25">
      <c r="A357" s="14"/>
      <c r="C357" s="12"/>
    </row>
    <row r="358" spans="1:3" x14ac:dyDescent="0.25">
      <c r="A358" s="14"/>
      <c r="C358" s="12"/>
    </row>
    <row r="359" spans="1:3" x14ac:dyDescent="0.25">
      <c r="A359" s="14"/>
      <c r="C359" s="12"/>
    </row>
    <row r="360" spans="1:3" x14ac:dyDescent="0.25">
      <c r="A360" s="14"/>
      <c r="C360" s="12"/>
    </row>
    <row r="361" spans="1:3" x14ac:dyDescent="0.25">
      <c r="A361" s="14"/>
      <c r="C361" s="12"/>
    </row>
    <row r="362" spans="1:3" x14ac:dyDescent="0.25">
      <c r="A362" s="14"/>
      <c r="C362" s="12"/>
    </row>
    <row r="363" spans="1:3" x14ac:dyDescent="0.25">
      <c r="A363" s="14"/>
      <c r="C363" s="12"/>
    </row>
    <row r="364" spans="1:3" x14ac:dyDescent="0.25">
      <c r="A364" s="14"/>
      <c r="C364" s="12"/>
    </row>
    <row r="365" spans="1:3" x14ac:dyDescent="0.25">
      <c r="A365" s="14"/>
      <c r="C365" s="12"/>
    </row>
    <row r="366" spans="1:3" x14ac:dyDescent="0.25">
      <c r="A366" s="14"/>
      <c r="C366" s="12"/>
    </row>
    <row r="367" spans="1:3" x14ac:dyDescent="0.25">
      <c r="A367" s="14"/>
      <c r="C367" s="12"/>
    </row>
    <row r="368" spans="1:3" x14ac:dyDescent="0.25">
      <c r="A368" s="14"/>
      <c r="C368" s="12"/>
    </row>
    <row r="369" spans="1:3" x14ac:dyDescent="0.25">
      <c r="A369" s="14"/>
      <c r="C369" s="12"/>
    </row>
    <row r="370" spans="1:3" x14ac:dyDescent="0.25">
      <c r="A370" s="14"/>
      <c r="C370" s="12"/>
    </row>
    <row r="371" spans="1:3" x14ac:dyDescent="0.25">
      <c r="A371" s="14"/>
      <c r="C371" s="12"/>
    </row>
    <row r="372" spans="1:3" x14ac:dyDescent="0.25">
      <c r="A372" s="14"/>
      <c r="C372" s="12"/>
    </row>
    <row r="373" spans="1:3" x14ac:dyDescent="0.25">
      <c r="A373" s="14"/>
      <c r="C373" s="12"/>
    </row>
    <row r="374" spans="1:3" x14ac:dyDescent="0.25">
      <c r="A374" s="14"/>
      <c r="C374" s="12"/>
    </row>
    <row r="375" spans="1:3" x14ac:dyDescent="0.25">
      <c r="A375" s="14"/>
      <c r="C375" s="12"/>
    </row>
    <row r="376" spans="1:3" x14ac:dyDescent="0.25">
      <c r="A376" s="14"/>
      <c r="C376" s="12"/>
    </row>
    <row r="377" spans="1:3" x14ac:dyDescent="0.25">
      <c r="A377" s="14"/>
      <c r="C377" s="12"/>
    </row>
    <row r="378" spans="1:3" x14ac:dyDescent="0.25">
      <c r="A378" s="14"/>
      <c r="C378" s="12"/>
    </row>
    <row r="379" spans="1:3" x14ac:dyDescent="0.25">
      <c r="A379" s="14"/>
      <c r="C379" s="12"/>
    </row>
    <row r="380" spans="1:3" x14ac:dyDescent="0.25">
      <c r="A380" s="14"/>
      <c r="C380" s="12"/>
    </row>
    <row r="381" spans="1:3" x14ac:dyDescent="0.25">
      <c r="A381" s="14"/>
      <c r="C381" s="12"/>
    </row>
    <row r="382" spans="1:3" x14ac:dyDescent="0.25">
      <c r="A382" s="14"/>
      <c r="C382" s="12"/>
    </row>
    <row r="383" spans="1:3" x14ac:dyDescent="0.25">
      <c r="A383" s="14"/>
      <c r="C383" s="12"/>
    </row>
    <row r="384" spans="1:3" x14ac:dyDescent="0.25">
      <c r="A384" s="14"/>
      <c r="C384" s="12"/>
    </row>
    <row r="385" spans="1:3" x14ac:dyDescent="0.25">
      <c r="A385" s="14"/>
      <c r="C385" s="12"/>
    </row>
    <row r="386" spans="1:3" x14ac:dyDescent="0.25">
      <c r="A386" s="14"/>
      <c r="C386" s="12"/>
    </row>
    <row r="387" spans="1:3" x14ac:dyDescent="0.25">
      <c r="A387" s="14"/>
      <c r="C387" s="12"/>
    </row>
    <row r="388" spans="1:3" x14ac:dyDescent="0.25">
      <c r="A388" s="14"/>
      <c r="C388" s="12"/>
    </row>
    <row r="389" spans="1:3" x14ac:dyDescent="0.25">
      <c r="A389" s="14"/>
      <c r="C389" s="12"/>
    </row>
    <row r="390" spans="1:3" x14ac:dyDescent="0.25">
      <c r="A390" s="14"/>
      <c r="C390" s="12"/>
    </row>
    <row r="391" spans="1:3" x14ac:dyDescent="0.25">
      <c r="A391" s="14"/>
      <c r="C391" s="12"/>
    </row>
    <row r="392" spans="1:3" x14ac:dyDescent="0.25">
      <c r="A392" s="14"/>
      <c r="C392" s="12"/>
    </row>
    <row r="393" spans="1:3" x14ac:dyDescent="0.25">
      <c r="A393" s="14"/>
      <c r="C393" s="12"/>
    </row>
    <row r="394" spans="1:3" x14ac:dyDescent="0.25">
      <c r="A394" s="14"/>
      <c r="C394" s="12"/>
    </row>
    <row r="395" spans="1:3" x14ac:dyDescent="0.25">
      <c r="A395" s="14"/>
      <c r="C395" s="12"/>
    </row>
    <row r="396" spans="1:3" x14ac:dyDescent="0.25">
      <c r="A396" s="14"/>
      <c r="C396" s="12"/>
    </row>
    <row r="397" spans="1:3" x14ac:dyDescent="0.25">
      <c r="A397" s="14"/>
      <c r="C397" s="12"/>
    </row>
    <row r="398" spans="1:3" x14ac:dyDescent="0.25">
      <c r="A398" s="14"/>
      <c r="C398" s="12"/>
    </row>
    <row r="399" spans="1:3" x14ac:dyDescent="0.25">
      <c r="A399" s="14"/>
      <c r="C399" s="12"/>
    </row>
    <row r="400" spans="1:3" x14ac:dyDescent="0.25">
      <c r="A400" s="14"/>
      <c r="C400" s="12"/>
    </row>
    <row r="401" spans="1:3" x14ac:dyDescent="0.25">
      <c r="A401" s="14"/>
      <c r="C401" s="12"/>
    </row>
    <row r="402" spans="1:3" x14ac:dyDescent="0.25">
      <c r="A402" s="14"/>
      <c r="C402" s="12"/>
    </row>
    <row r="403" spans="1:3" x14ac:dyDescent="0.25">
      <c r="A403" s="14"/>
      <c r="C403" s="12"/>
    </row>
    <row r="404" spans="1:3" x14ac:dyDescent="0.25">
      <c r="A404" s="14"/>
      <c r="C404" s="12"/>
    </row>
    <row r="405" spans="1:3" x14ac:dyDescent="0.25">
      <c r="A405" s="14"/>
      <c r="C405" s="12"/>
    </row>
    <row r="406" spans="1:3" x14ac:dyDescent="0.25">
      <c r="A406" s="14"/>
      <c r="C406" s="12"/>
    </row>
    <row r="407" spans="1:3" x14ac:dyDescent="0.25">
      <c r="A407" s="14"/>
      <c r="C407" s="12"/>
    </row>
    <row r="408" spans="1:3" x14ac:dyDescent="0.25">
      <c r="A408" s="14"/>
      <c r="C408" s="12"/>
    </row>
    <row r="409" spans="1:3" x14ac:dyDescent="0.25">
      <c r="A409" s="14"/>
      <c r="C409" s="12"/>
    </row>
    <row r="410" spans="1:3" x14ac:dyDescent="0.25">
      <c r="A410" s="14"/>
      <c r="C410" s="12"/>
    </row>
    <row r="411" spans="1:3" x14ac:dyDescent="0.25">
      <c r="A411" s="14"/>
      <c r="C411" s="12"/>
    </row>
    <row r="412" spans="1:3" x14ac:dyDescent="0.25">
      <c r="A412" s="14"/>
      <c r="C412" s="12"/>
    </row>
    <row r="413" spans="1:3" x14ac:dyDescent="0.25">
      <c r="A413" s="14"/>
      <c r="C413" s="12"/>
    </row>
    <row r="414" spans="1:3" x14ac:dyDescent="0.25">
      <c r="A414" s="14"/>
      <c r="C414" s="12"/>
    </row>
    <row r="415" spans="1:3" x14ac:dyDescent="0.25">
      <c r="A415" s="14"/>
      <c r="C415" s="12"/>
    </row>
    <row r="416" spans="1:3" x14ac:dyDescent="0.25">
      <c r="A416" s="14"/>
      <c r="C416" s="12"/>
    </row>
    <row r="417" spans="1:3" x14ac:dyDescent="0.25">
      <c r="A417" s="14"/>
      <c r="C417" s="12"/>
    </row>
    <row r="418" spans="1:3" x14ac:dyDescent="0.25">
      <c r="A418" s="14"/>
      <c r="C418" s="12"/>
    </row>
    <row r="419" spans="1:3" x14ac:dyDescent="0.25">
      <c r="A419" s="14"/>
      <c r="C419" s="12"/>
    </row>
    <row r="420" spans="1:3" x14ac:dyDescent="0.25">
      <c r="A420" s="14"/>
      <c r="C420" s="12"/>
    </row>
    <row r="421" spans="1:3" x14ac:dyDescent="0.25">
      <c r="A421" s="14"/>
      <c r="C421" s="12"/>
    </row>
    <row r="422" spans="1:3" x14ac:dyDescent="0.25">
      <c r="A422" s="14"/>
      <c r="C422" s="12"/>
    </row>
    <row r="423" spans="1:3" x14ac:dyDescent="0.25">
      <c r="A423" s="14"/>
      <c r="C423" s="12"/>
    </row>
    <row r="424" spans="1:3" x14ac:dyDescent="0.25">
      <c r="A424" s="14"/>
      <c r="C424" s="12"/>
    </row>
    <row r="425" spans="1:3" x14ac:dyDescent="0.25">
      <c r="A425" s="14"/>
      <c r="C425" s="12"/>
    </row>
    <row r="426" spans="1:3" x14ac:dyDescent="0.25">
      <c r="A426" s="14"/>
      <c r="C426" s="12"/>
    </row>
    <row r="427" spans="1:3" x14ac:dyDescent="0.25">
      <c r="A427" s="14"/>
      <c r="C427" s="12"/>
    </row>
    <row r="428" spans="1:3" x14ac:dyDescent="0.25">
      <c r="A428" s="14"/>
      <c r="C428" s="12"/>
    </row>
    <row r="429" spans="1:3" x14ac:dyDescent="0.25">
      <c r="A429" s="14"/>
      <c r="C429" s="12"/>
    </row>
    <row r="430" spans="1:3" x14ac:dyDescent="0.25">
      <c r="A430" s="14"/>
      <c r="C430" s="12"/>
    </row>
    <row r="431" spans="1:3" x14ac:dyDescent="0.25">
      <c r="A431" s="14"/>
      <c r="C431" s="12"/>
    </row>
    <row r="432" spans="1:3" x14ac:dyDescent="0.25">
      <c r="A432" s="14"/>
      <c r="C432" s="12"/>
    </row>
    <row r="433" spans="1:3" x14ac:dyDescent="0.25">
      <c r="A433" s="14"/>
      <c r="C433" s="12"/>
    </row>
    <row r="434" spans="1:3" x14ac:dyDescent="0.25">
      <c r="A434" s="14"/>
      <c r="C434" s="12"/>
    </row>
    <row r="435" spans="1:3" x14ac:dyDescent="0.25">
      <c r="A435" s="14"/>
      <c r="C435" s="12"/>
    </row>
    <row r="436" spans="1:3" x14ac:dyDescent="0.25">
      <c r="A436" s="14"/>
      <c r="C436" s="12"/>
    </row>
    <row r="437" spans="1:3" x14ac:dyDescent="0.25">
      <c r="A437" s="14"/>
      <c r="C437" s="12"/>
    </row>
    <row r="438" spans="1:3" x14ac:dyDescent="0.25">
      <c r="A438" s="14"/>
      <c r="C438" s="12"/>
    </row>
    <row r="439" spans="1:3" x14ac:dyDescent="0.25">
      <c r="A439" s="14"/>
      <c r="C439" s="12"/>
    </row>
    <row r="440" spans="1:3" x14ac:dyDescent="0.25">
      <c r="A440" s="14"/>
      <c r="C440" s="12"/>
    </row>
    <row r="441" spans="1:3" x14ac:dyDescent="0.25">
      <c r="A441" s="14"/>
      <c r="C441" s="12"/>
    </row>
    <row r="442" spans="1:3" x14ac:dyDescent="0.25">
      <c r="A442" s="14"/>
      <c r="C442" s="12"/>
    </row>
    <row r="443" spans="1:3" x14ac:dyDescent="0.25">
      <c r="A443" s="14"/>
      <c r="C443" s="12"/>
    </row>
    <row r="444" spans="1:3" x14ac:dyDescent="0.25">
      <c r="A444" s="14"/>
      <c r="C444" s="12"/>
    </row>
    <row r="445" spans="1:3" x14ac:dyDescent="0.25">
      <c r="A445" s="14"/>
      <c r="C445" s="12"/>
    </row>
    <row r="446" spans="1:3" x14ac:dyDescent="0.25">
      <c r="A446" s="14"/>
      <c r="C446" s="12"/>
    </row>
    <row r="447" spans="1:3" x14ac:dyDescent="0.25">
      <c r="A447" s="14"/>
      <c r="C447" s="12"/>
    </row>
    <row r="448" spans="1:3" x14ac:dyDescent="0.25">
      <c r="A448" s="14"/>
      <c r="C448" s="12"/>
    </row>
    <row r="449" spans="1:3" x14ac:dyDescent="0.25">
      <c r="A449" s="14"/>
      <c r="C449" s="12"/>
    </row>
    <row r="450" spans="1:3" x14ac:dyDescent="0.25">
      <c r="A450" s="14"/>
      <c r="C450" s="12"/>
    </row>
    <row r="451" spans="1:3" x14ac:dyDescent="0.25">
      <c r="A451" s="14"/>
      <c r="C451" s="12"/>
    </row>
    <row r="452" spans="1:3" x14ac:dyDescent="0.25">
      <c r="A452" s="14"/>
      <c r="C452" s="12"/>
    </row>
    <row r="453" spans="1:3" x14ac:dyDescent="0.25">
      <c r="A453" s="14"/>
      <c r="C453" s="12"/>
    </row>
    <row r="454" spans="1:3" x14ac:dyDescent="0.25">
      <c r="A454" s="14"/>
      <c r="C454" s="12"/>
    </row>
    <row r="455" spans="1:3" x14ac:dyDescent="0.25">
      <c r="A455" s="14"/>
      <c r="C455" s="12"/>
    </row>
    <row r="456" spans="1:3" x14ac:dyDescent="0.25">
      <c r="A456" s="14"/>
      <c r="C456" s="12"/>
    </row>
    <row r="457" spans="1:3" x14ac:dyDescent="0.25">
      <c r="A457" s="14"/>
      <c r="C457" s="12"/>
    </row>
    <row r="458" spans="1:3" x14ac:dyDescent="0.25">
      <c r="A458" s="14"/>
      <c r="C458" s="12"/>
    </row>
    <row r="459" spans="1:3" x14ac:dyDescent="0.25">
      <c r="A459" s="14"/>
      <c r="C459" s="12"/>
    </row>
    <row r="460" spans="1:3" x14ac:dyDescent="0.25">
      <c r="A460" s="14"/>
      <c r="C460" s="12"/>
    </row>
    <row r="461" spans="1:3" x14ac:dyDescent="0.25">
      <c r="A461" s="14"/>
      <c r="C461" s="12"/>
    </row>
    <row r="462" spans="1:3" x14ac:dyDescent="0.25">
      <c r="A462" s="14"/>
      <c r="C462" s="12"/>
    </row>
    <row r="463" spans="1:3" x14ac:dyDescent="0.25">
      <c r="A463" s="14"/>
      <c r="C463" s="12"/>
    </row>
    <row r="464" spans="1:3" x14ac:dyDescent="0.25">
      <c r="A464" s="14"/>
      <c r="C464" s="12"/>
    </row>
    <row r="465" spans="1:3" x14ac:dyDescent="0.25">
      <c r="A465" s="14"/>
      <c r="C465" s="12"/>
    </row>
    <row r="466" spans="1:3" x14ac:dyDescent="0.25">
      <c r="A466" s="14"/>
      <c r="C466" s="12"/>
    </row>
    <row r="467" spans="1:3" x14ac:dyDescent="0.25">
      <c r="A467" s="14"/>
      <c r="C467" s="12"/>
    </row>
    <row r="468" spans="1:3" x14ac:dyDescent="0.25">
      <c r="A468" s="14"/>
      <c r="C468" s="12"/>
    </row>
    <row r="469" spans="1:3" x14ac:dyDescent="0.25">
      <c r="A469" s="14"/>
      <c r="C469" s="12"/>
    </row>
    <row r="470" spans="1:3" x14ac:dyDescent="0.25">
      <c r="A470" s="14"/>
      <c r="C470" s="12"/>
    </row>
    <row r="471" spans="1:3" x14ac:dyDescent="0.25">
      <c r="A471" s="14"/>
      <c r="C471" s="12"/>
    </row>
    <row r="472" spans="1:3" x14ac:dyDescent="0.25">
      <c r="A472" s="14"/>
      <c r="C472" s="12"/>
    </row>
    <row r="473" spans="1:3" x14ac:dyDescent="0.25">
      <c r="A473" s="14"/>
      <c r="C473" s="12"/>
    </row>
    <row r="474" spans="1:3" x14ac:dyDescent="0.25">
      <c r="A474" s="14"/>
      <c r="C474" s="12"/>
    </row>
    <row r="475" spans="1:3" x14ac:dyDescent="0.25">
      <c r="A475" s="14"/>
      <c r="C475" s="12"/>
    </row>
    <row r="476" spans="1:3" x14ac:dyDescent="0.25">
      <c r="A476" s="14"/>
      <c r="C476" s="12"/>
    </row>
    <row r="477" spans="1:3" x14ac:dyDescent="0.25">
      <c r="A477" s="14"/>
      <c r="C477" s="12"/>
    </row>
    <row r="478" spans="1:3" x14ac:dyDescent="0.25">
      <c r="A478" s="14"/>
      <c r="C478" s="12"/>
    </row>
    <row r="479" spans="1:3" x14ac:dyDescent="0.25">
      <c r="A479" s="14"/>
      <c r="C479" s="12"/>
    </row>
    <row r="480" spans="1:3" x14ac:dyDescent="0.25">
      <c r="A480" s="14"/>
      <c r="C480" s="12"/>
    </row>
    <row r="481" spans="1:3" x14ac:dyDescent="0.25">
      <c r="A481" s="14"/>
      <c r="C481" s="12"/>
    </row>
    <row r="482" spans="1:3" x14ac:dyDescent="0.25">
      <c r="A482" s="14"/>
      <c r="C482" s="12"/>
    </row>
    <row r="483" spans="1:3" x14ac:dyDescent="0.25">
      <c r="A483" s="14"/>
      <c r="C483" s="12"/>
    </row>
    <row r="484" spans="1:3" x14ac:dyDescent="0.25">
      <c r="A484" s="14"/>
      <c r="C484" s="12"/>
    </row>
    <row r="485" spans="1:3" x14ac:dyDescent="0.25">
      <c r="A485" s="14"/>
      <c r="C485" s="12"/>
    </row>
    <row r="486" spans="1:3" x14ac:dyDescent="0.25">
      <c r="A486" s="14"/>
      <c r="C486" s="12"/>
    </row>
    <row r="487" spans="1:3" x14ac:dyDescent="0.25">
      <c r="A487" s="14"/>
      <c r="C487" s="12"/>
    </row>
    <row r="488" spans="1:3" x14ac:dyDescent="0.25">
      <c r="A488" s="14"/>
      <c r="C488" s="12"/>
    </row>
    <row r="489" spans="1:3" x14ac:dyDescent="0.25">
      <c r="A489" s="14"/>
      <c r="C489" s="12"/>
    </row>
    <row r="490" spans="1:3" x14ac:dyDescent="0.25">
      <c r="A490" s="14"/>
      <c r="C490" s="12"/>
    </row>
    <row r="491" spans="1:3" x14ac:dyDescent="0.25">
      <c r="A491" s="14"/>
      <c r="C491" s="12"/>
    </row>
    <row r="492" spans="1:3" x14ac:dyDescent="0.25">
      <c r="A492" s="14"/>
      <c r="C492" s="12"/>
    </row>
    <row r="493" spans="1:3" x14ac:dyDescent="0.25">
      <c r="A493" s="14"/>
      <c r="C493" s="12"/>
    </row>
    <row r="494" spans="1:3" x14ac:dyDescent="0.25">
      <c r="A494" s="14"/>
      <c r="C494" s="12"/>
    </row>
    <row r="495" spans="1:3" x14ac:dyDescent="0.25">
      <c r="A495" s="14"/>
      <c r="C495" s="12"/>
    </row>
    <row r="496" spans="1:3" x14ac:dyDescent="0.25">
      <c r="A496" s="14"/>
      <c r="C496" s="12"/>
    </row>
    <row r="497" spans="1:3" x14ac:dyDescent="0.25">
      <c r="A497" s="14"/>
      <c r="C497" s="12"/>
    </row>
    <row r="498" spans="1:3" x14ac:dyDescent="0.25">
      <c r="A498" s="14"/>
      <c r="C498" s="12"/>
    </row>
    <row r="499" spans="1:3" x14ac:dyDescent="0.25">
      <c r="A499" s="14"/>
      <c r="C499" s="12"/>
    </row>
    <row r="500" spans="1:3" x14ac:dyDescent="0.25">
      <c r="A500" s="14"/>
      <c r="C500" s="12"/>
    </row>
    <row r="501" spans="1:3" x14ac:dyDescent="0.25">
      <c r="A501" s="14"/>
      <c r="C501" s="12"/>
    </row>
    <row r="502" spans="1:3" x14ac:dyDescent="0.25">
      <c r="A502" s="14"/>
      <c r="C502" s="12"/>
    </row>
    <row r="503" spans="1:3" x14ac:dyDescent="0.25">
      <c r="A503" s="14"/>
      <c r="C503" s="12"/>
    </row>
    <row r="504" spans="1:3" x14ac:dyDescent="0.25">
      <c r="A504" s="14"/>
      <c r="C504" s="12"/>
    </row>
    <row r="505" spans="1:3" x14ac:dyDescent="0.25">
      <c r="A505" s="14"/>
      <c r="C505" s="12"/>
    </row>
    <row r="506" spans="1:3" x14ac:dyDescent="0.25">
      <c r="A506" s="14"/>
      <c r="C506" s="12"/>
    </row>
    <row r="507" spans="1:3" x14ac:dyDescent="0.25">
      <c r="A507" s="14"/>
      <c r="C507" s="12"/>
    </row>
    <row r="508" spans="1:3" x14ac:dyDescent="0.25">
      <c r="A508" s="14"/>
      <c r="C508" s="12"/>
    </row>
    <row r="509" spans="1:3" x14ac:dyDescent="0.25">
      <c r="A509" s="14"/>
      <c r="C509" s="12"/>
    </row>
    <row r="510" spans="1:3" x14ac:dyDescent="0.25">
      <c r="A510" s="14"/>
      <c r="C510" s="12"/>
    </row>
    <row r="511" spans="1:3" x14ac:dyDescent="0.25">
      <c r="A511" s="14"/>
      <c r="C511" s="12"/>
    </row>
    <row r="512" spans="1:3" x14ac:dyDescent="0.25">
      <c r="A512" s="14"/>
      <c r="C512" s="12"/>
    </row>
    <row r="513" spans="1:3" x14ac:dyDescent="0.25">
      <c r="A513" s="14"/>
      <c r="C513" s="12"/>
    </row>
    <row r="514" spans="1:3" x14ac:dyDescent="0.25">
      <c r="A514" s="14"/>
      <c r="C514" s="12"/>
    </row>
    <row r="515" spans="1:3" x14ac:dyDescent="0.25">
      <c r="A515" s="14"/>
      <c r="C515" s="12"/>
    </row>
    <row r="516" spans="1:3" x14ac:dyDescent="0.25">
      <c r="A516" s="14"/>
      <c r="C516" s="12"/>
    </row>
    <row r="517" spans="1:3" x14ac:dyDescent="0.25">
      <c r="A517" s="14"/>
      <c r="C517" s="12"/>
    </row>
    <row r="518" spans="1:3" x14ac:dyDescent="0.25">
      <c r="A518" s="14"/>
      <c r="C518" s="12"/>
    </row>
    <row r="519" spans="1:3" x14ac:dyDescent="0.25">
      <c r="A519" s="14"/>
      <c r="C519" s="12"/>
    </row>
    <row r="520" spans="1:3" x14ac:dyDescent="0.25">
      <c r="A520" s="14"/>
      <c r="C520" s="12"/>
    </row>
    <row r="521" spans="1:3" x14ac:dyDescent="0.25">
      <c r="A521" s="14"/>
      <c r="C521" s="12"/>
    </row>
    <row r="522" spans="1:3" x14ac:dyDescent="0.25">
      <c r="A522" s="14"/>
      <c r="C522" s="12"/>
    </row>
    <row r="523" spans="1:3" x14ac:dyDescent="0.25">
      <c r="A523" s="14"/>
      <c r="C523" s="12"/>
    </row>
    <row r="524" spans="1:3" x14ac:dyDescent="0.25">
      <c r="A524" s="14"/>
      <c r="C524" s="12"/>
    </row>
    <row r="525" spans="1:3" x14ac:dyDescent="0.25">
      <c r="A525" s="14"/>
      <c r="C525" s="12"/>
    </row>
    <row r="526" spans="1:3" x14ac:dyDescent="0.25">
      <c r="A526" s="14"/>
      <c r="C526" s="12"/>
    </row>
    <row r="527" spans="1:3" x14ac:dyDescent="0.25">
      <c r="A527" s="14"/>
      <c r="C527" s="12"/>
    </row>
    <row r="528" spans="1:3" x14ac:dyDescent="0.25">
      <c r="A528" s="14"/>
      <c r="C528" s="12"/>
    </row>
    <row r="529" spans="1:3" x14ac:dyDescent="0.25">
      <c r="A529" s="14"/>
      <c r="C529" s="12"/>
    </row>
    <row r="530" spans="1:3" x14ac:dyDescent="0.25">
      <c r="A530" s="14"/>
      <c r="C530" s="12"/>
    </row>
    <row r="531" spans="1:3" x14ac:dyDescent="0.25">
      <c r="A531" s="14"/>
      <c r="C531" s="12"/>
    </row>
    <row r="532" spans="1:3" x14ac:dyDescent="0.25">
      <c r="A532" s="14"/>
      <c r="C532" s="12"/>
    </row>
    <row r="533" spans="1:3" x14ac:dyDescent="0.25">
      <c r="A533" s="14"/>
      <c r="C533" s="12"/>
    </row>
    <row r="534" spans="1:3" x14ac:dyDescent="0.25">
      <c r="A534" s="14"/>
      <c r="C534" s="12"/>
    </row>
    <row r="535" spans="1:3" x14ac:dyDescent="0.25">
      <c r="A535" s="14"/>
      <c r="C535" s="12"/>
    </row>
    <row r="536" spans="1:3" x14ac:dyDescent="0.25">
      <c r="A536" s="14"/>
      <c r="C536" s="12"/>
    </row>
    <row r="537" spans="1:3" x14ac:dyDescent="0.25">
      <c r="A537" s="14"/>
      <c r="C537" s="12"/>
    </row>
    <row r="538" spans="1:3" x14ac:dyDescent="0.25">
      <c r="A538" s="14"/>
      <c r="C538" s="12"/>
    </row>
    <row r="539" spans="1:3" x14ac:dyDescent="0.25">
      <c r="A539" s="14"/>
      <c r="C539" s="12"/>
    </row>
    <row r="540" spans="1:3" x14ac:dyDescent="0.25">
      <c r="A540" s="14"/>
      <c r="C540" s="12"/>
    </row>
    <row r="541" spans="1:3" x14ac:dyDescent="0.25">
      <c r="A541" s="14"/>
      <c r="C541" s="12"/>
    </row>
    <row r="542" spans="1:3" x14ac:dyDescent="0.25">
      <c r="A542" s="14"/>
      <c r="C542" s="12"/>
    </row>
    <row r="543" spans="1:3" x14ac:dyDescent="0.25">
      <c r="A543" s="14"/>
      <c r="C543" s="12"/>
    </row>
    <row r="544" spans="1:3" x14ac:dyDescent="0.25">
      <c r="A544" s="14"/>
      <c r="C544" s="12"/>
    </row>
    <row r="545" spans="1:3" x14ac:dyDescent="0.25">
      <c r="A545" s="14"/>
      <c r="C545" s="12"/>
    </row>
    <row r="546" spans="1:3" x14ac:dyDescent="0.25">
      <c r="A546" s="14"/>
      <c r="C546" s="12"/>
    </row>
    <row r="547" spans="1:3" x14ac:dyDescent="0.25">
      <c r="A547" s="14"/>
      <c r="C547" s="12"/>
    </row>
    <row r="548" spans="1:3" x14ac:dyDescent="0.25">
      <c r="A548" s="14"/>
      <c r="C548" s="12"/>
    </row>
    <row r="549" spans="1:3" x14ac:dyDescent="0.25">
      <c r="A549" s="14"/>
      <c r="C549" s="12"/>
    </row>
    <row r="550" spans="1:3" x14ac:dyDescent="0.25">
      <c r="A550" s="14"/>
      <c r="C550" s="12"/>
    </row>
    <row r="551" spans="1:3" x14ac:dyDescent="0.25">
      <c r="A551" s="14"/>
      <c r="C551" s="12"/>
    </row>
    <row r="552" spans="1:3" x14ac:dyDescent="0.25">
      <c r="A552" s="14"/>
      <c r="C552" s="12"/>
    </row>
    <row r="553" spans="1:3" x14ac:dyDescent="0.25">
      <c r="A553" s="14"/>
      <c r="C553" s="12"/>
    </row>
    <row r="554" spans="1:3" x14ac:dyDescent="0.25">
      <c r="A554" s="14"/>
      <c r="C554" s="12"/>
    </row>
    <row r="555" spans="1:3" x14ac:dyDescent="0.25">
      <c r="A555" s="14"/>
      <c r="C555" s="12"/>
    </row>
    <row r="556" spans="1:3" x14ac:dyDescent="0.25">
      <c r="A556" s="14"/>
      <c r="C556" s="12"/>
    </row>
    <row r="557" spans="1:3" x14ac:dyDescent="0.25">
      <c r="A557" s="14"/>
      <c r="C557" s="12"/>
    </row>
    <row r="558" spans="1:3" x14ac:dyDescent="0.25">
      <c r="A558" s="14"/>
      <c r="C558" s="12"/>
    </row>
    <row r="559" spans="1:3" x14ac:dyDescent="0.25">
      <c r="A559" s="14"/>
      <c r="C559" s="12"/>
    </row>
    <row r="560" spans="1:3" x14ac:dyDescent="0.25">
      <c r="A560" s="14"/>
      <c r="C560" s="12"/>
    </row>
    <row r="561" spans="1:3" x14ac:dyDescent="0.25">
      <c r="A561" s="14"/>
      <c r="C561" s="12"/>
    </row>
    <row r="562" spans="1:3" x14ac:dyDescent="0.25">
      <c r="A562" s="14"/>
      <c r="C562" s="12"/>
    </row>
    <row r="563" spans="1:3" x14ac:dyDescent="0.25">
      <c r="A563" s="14"/>
      <c r="C563" s="12"/>
    </row>
    <row r="564" spans="1:3" x14ac:dyDescent="0.25">
      <c r="A564" s="14"/>
      <c r="C564" s="12"/>
    </row>
    <row r="565" spans="1:3" x14ac:dyDescent="0.25">
      <c r="A565" s="14"/>
      <c r="C565" s="12"/>
    </row>
    <row r="566" spans="1:3" x14ac:dyDescent="0.25">
      <c r="A566" s="14"/>
      <c r="C566" s="12"/>
    </row>
    <row r="567" spans="1:3" x14ac:dyDescent="0.25">
      <c r="A567" s="14"/>
      <c r="C567" s="12"/>
    </row>
    <row r="568" spans="1:3" x14ac:dyDescent="0.25">
      <c r="A568" s="14"/>
      <c r="C568" s="12"/>
    </row>
    <row r="569" spans="1:3" x14ac:dyDescent="0.25">
      <c r="A569" s="14"/>
      <c r="C569" s="12"/>
    </row>
    <row r="570" spans="1:3" x14ac:dyDescent="0.25">
      <c r="A570" s="14"/>
      <c r="C570" s="12"/>
    </row>
    <row r="571" spans="1:3" x14ac:dyDescent="0.25">
      <c r="A571" s="14"/>
      <c r="C571" s="12"/>
    </row>
    <row r="572" spans="1:3" x14ac:dyDescent="0.25">
      <c r="A572" s="14"/>
      <c r="C572" s="12"/>
    </row>
    <row r="573" spans="1:3" x14ac:dyDescent="0.25">
      <c r="A573" s="14"/>
      <c r="C573" s="12"/>
    </row>
    <row r="574" spans="1:3" x14ac:dyDescent="0.25">
      <c r="A574" s="14"/>
      <c r="C574" s="12"/>
    </row>
    <row r="575" spans="1:3" x14ac:dyDescent="0.25">
      <c r="A575" s="14"/>
      <c r="C575" s="12"/>
    </row>
    <row r="576" spans="1:3" x14ac:dyDescent="0.25">
      <c r="A576" s="14"/>
      <c r="C576" s="12"/>
    </row>
    <row r="577" spans="1:3" x14ac:dyDescent="0.25">
      <c r="A577" s="14"/>
      <c r="C577" s="12"/>
    </row>
    <row r="578" spans="1:3" x14ac:dyDescent="0.25">
      <c r="A578" s="14"/>
      <c r="C578" s="12"/>
    </row>
    <row r="579" spans="1:3" x14ac:dyDescent="0.25">
      <c r="A579" s="14"/>
      <c r="C579" s="12"/>
    </row>
    <row r="580" spans="1:3" x14ac:dyDescent="0.25">
      <c r="A580" s="14"/>
      <c r="C580" s="12"/>
    </row>
    <row r="581" spans="1:3" x14ac:dyDescent="0.25">
      <c r="A581" s="14"/>
      <c r="C581" s="12"/>
    </row>
    <row r="582" spans="1:3" x14ac:dyDescent="0.25">
      <c r="A582" s="14"/>
      <c r="C582" s="12"/>
    </row>
    <row r="583" spans="1:3" x14ac:dyDescent="0.25">
      <c r="A583" s="14"/>
      <c r="C583" s="12"/>
    </row>
    <row r="584" spans="1:3" x14ac:dyDescent="0.25">
      <c r="A584" s="14"/>
      <c r="C584" s="12"/>
    </row>
    <row r="585" spans="1:3" x14ac:dyDescent="0.25">
      <c r="A585" s="14"/>
      <c r="C585" s="12"/>
    </row>
    <row r="586" spans="1:3" x14ac:dyDescent="0.25">
      <c r="A586" s="14"/>
      <c r="C586" s="12"/>
    </row>
    <row r="587" spans="1:3" x14ac:dyDescent="0.25">
      <c r="A587" s="14"/>
      <c r="C587" s="12"/>
    </row>
    <row r="588" spans="1:3" x14ac:dyDescent="0.25">
      <c r="A588" s="14"/>
      <c r="C588" s="12"/>
    </row>
    <row r="589" spans="1:3" x14ac:dyDescent="0.25">
      <c r="A589" s="14"/>
      <c r="C589" s="12"/>
    </row>
    <row r="590" spans="1:3" x14ac:dyDescent="0.25">
      <c r="A590" s="14"/>
      <c r="C590" s="12"/>
    </row>
    <row r="591" spans="1:3" x14ac:dyDescent="0.25">
      <c r="A591" s="14"/>
      <c r="C591" s="12"/>
    </row>
    <row r="592" spans="1:3" x14ac:dyDescent="0.25">
      <c r="A592" s="14"/>
      <c r="C592" s="12"/>
    </row>
    <row r="593" spans="1:3" x14ac:dyDescent="0.25">
      <c r="A593" s="14"/>
      <c r="C593" s="12"/>
    </row>
    <row r="594" spans="1:3" x14ac:dyDescent="0.25">
      <c r="A594" s="14"/>
      <c r="C594" s="12"/>
    </row>
    <row r="595" spans="1:3" x14ac:dyDescent="0.25">
      <c r="A595" s="14"/>
      <c r="C595" s="12"/>
    </row>
    <row r="596" spans="1:3" x14ac:dyDescent="0.25">
      <c r="A596" s="14"/>
      <c r="C596" s="12"/>
    </row>
    <row r="597" spans="1:3" x14ac:dyDescent="0.25">
      <c r="A597" s="14"/>
      <c r="C597" s="12"/>
    </row>
    <row r="598" spans="1:3" x14ac:dyDescent="0.25">
      <c r="A598" s="14"/>
      <c r="C598" s="12"/>
    </row>
    <row r="599" spans="1:3" x14ac:dyDescent="0.25">
      <c r="A599" s="14"/>
      <c r="C599" s="12"/>
    </row>
    <row r="600" spans="1:3" x14ac:dyDescent="0.25">
      <c r="A600" s="14"/>
      <c r="C600" s="12"/>
    </row>
    <row r="601" spans="1:3" x14ac:dyDescent="0.25">
      <c r="A601" s="14"/>
      <c r="C601" s="12"/>
    </row>
    <row r="602" spans="1:3" x14ac:dyDescent="0.25">
      <c r="A602" s="14"/>
      <c r="C602" s="12"/>
    </row>
    <row r="603" spans="1:3" x14ac:dyDescent="0.25">
      <c r="A603" s="14"/>
      <c r="C603" s="12"/>
    </row>
    <row r="604" spans="1:3" x14ac:dyDescent="0.25">
      <c r="A604" s="14"/>
      <c r="C604" s="12"/>
    </row>
    <row r="605" spans="1:3" x14ac:dyDescent="0.25">
      <c r="A605" s="14"/>
      <c r="C605" s="12"/>
    </row>
    <row r="606" spans="1:3" x14ac:dyDescent="0.25">
      <c r="A606" s="14"/>
      <c r="C606" s="12"/>
    </row>
    <row r="607" spans="1:3" x14ac:dyDescent="0.25">
      <c r="A607" s="14"/>
      <c r="C607" s="12"/>
    </row>
    <row r="608" spans="1:3" x14ac:dyDescent="0.25">
      <c r="A608" s="14"/>
      <c r="C608" s="12"/>
    </row>
    <row r="609" spans="1:3" x14ac:dyDescent="0.25">
      <c r="A609" s="14"/>
      <c r="C609" s="12"/>
    </row>
    <row r="610" spans="1:3" x14ac:dyDescent="0.25">
      <c r="A610" s="14"/>
      <c r="C610" s="12"/>
    </row>
    <row r="611" spans="1:3" x14ac:dyDescent="0.25">
      <c r="A611" s="14"/>
      <c r="C611" s="12"/>
    </row>
    <row r="612" spans="1:3" x14ac:dyDescent="0.25">
      <c r="A612" s="14"/>
      <c r="C612" s="12"/>
    </row>
    <row r="613" spans="1:3" x14ac:dyDescent="0.25">
      <c r="A613" s="14"/>
      <c r="C613" s="12"/>
    </row>
    <row r="614" spans="1:3" x14ac:dyDescent="0.25">
      <c r="A614" s="14"/>
      <c r="C614" s="12"/>
    </row>
    <row r="615" spans="1:3" x14ac:dyDescent="0.25">
      <c r="A615" s="14"/>
      <c r="C615" s="12"/>
    </row>
    <row r="616" spans="1:3" x14ac:dyDescent="0.25">
      <c r="A616" s="14"/>
      <c r="C616" s="12"/>
    </row>
    <row r="617" spans="1:3" x14ac:dyDescent="0.25">
      <c r="A617" s="14"/>
      <c r="C617" s="12"/>
    </row>
    <row r="618" spans="1:3" x14ac:dyDescent="0.25">
      <c r="A618" s="14"/>
      <c r="C618" s="12"/>
    </row>
    <row r="619" spans="1:3" x14ac:dyDescent="0.25">
      <c r="A619" s="14"/>
      <c r="C619" s="12"/>
    </row>
    <row r="620" spans="1:3" x14ac:dyDescent="0.25">
      <c r="A620" s="14"/>
      <c r="C620" s="12"/>
    </row>
    <row r="621" spans="1:3" x14ac:dyDescent="0.25">
      <c r="A621" s="14"/>
      <c r="C621" s="12"/>
    </row>
    <row r="622" spans="1:3" x14ac:dyDescent="0.25">
      <c r="A622" s="14"/>
      <c r="C622" s="12"/>
    </row>
    <row r="623" spans="1:3" x14ac:dyDescent="0.25">
      <c r="A623" s="14"/>
      <c r="C623" s="12"/>
    </row>
    <row r="624" spans="1:3" x14ac:dyDescent="0.25">
      <c r="A624" s="14"/>
      <c r="C624" s="12"/>
    </row>
    <row r="625" spans="1:3" x14ac:dyDescent="0.25">
      <c r="A625" s="14"/>
      <c r="C625" s="12"/>
    </row>
    <row r="626" spans="1:3" x14ac:dyDescent="0.25">
      <c r="A626" s="14"/>
      <c r="C626" s="12"/>
    </row>
    <row r="627" spans="1:3" x14ac:dyDescent="0.25">
      <c r="A627" s="14"/>
      <c r="C627" s="12"/>
    </row>
    <row r="628" spans="1:3" x14ac:dyDescent="0.25">
      <c r="A628" s="14"/>
      <c r="C628" s="12"/>
    </row>
    <row r="629" spans="1:3" x14ac:dyDescent="0.25">
      <c r="A629" s="14"/>
      <c r="C629" s="12"/>
    </row>
    <row r="630" spans="1:3" x14ac:dyDescent="0.25">
      <c r="A630" s="14"/>
      <c r="C630" s="12"/>
    </row>
    <row r="631" spans="1:3" x14ac:dyDescent="0.25">
      <c r="A631" s="14"/>
      <c r="C631" s="12"/>
    </row>
    <row r="632" spans="1:3" x14ac:dyDescent="0.25">
      <c r="A632" s="14"/>
      <c r="C632" s="12"/>
    </row>
    <row r="633" spans="1:3" x14ac:dyDescent="0.25">
      <c r="A633" s="14"/>
      <c r="C633" s="12"/>
    </row>
    <row r="634" spans="1:3" x14ac:dyDescent="0.25">
      <c r="A634" s="14"/>
      <c r="C634" s="12"/>
    </row>
    <row r="635" spans="1:3" x14ac:dyDescent="0.25">
      <c r="A635" s="14"/>
      <c r="C635" s="12"/>
    </row>
    <row r="636" spans="1:3" x14ac:dyDescent="0.25">
      <c r="A636" s="14"/>
      <c r="C636" s="12"/>
    </row>
    <row r="637" spans="1:3" x14ac:dyDescent="0.25">
      <c r="A637" s="14"/>
      <c r="C637" s="12"/>
    </row>
    <row r="638" spans="1:3" x14ac:dyDescent="0.25">
      <c r="A638" s="14"/>
      <c r="C638" s="12"/>
    </row>
    <row r="639" spans="1:3" x14ac:dyDescent="0.25">
      <c r="A639" s="14"/>
      <c r="C639" s="12"/>
    </row>
    <row r="640" spans="1:3" x14ac:dyDescent="0.25">
      <c r="A640" s="14"/>
      <c r="C640" s="12"/>
    </row>
    <row r="641" spans="1:3" x14ac:dyDescent="0.25">
      <c r="A641" s="14"/>
      <c r="C641" s="12"/>
    </row>
    <row r="642" spans="1:3" x14ac:dyDescent="0.25">
      <c r="A642" s="14"/>
      <c r="C642" s="12"/>
    </row>
    <row r="643" spans="1:3" x14ac:dyDescent="0.25">
      <c r="A643" s="14"/>
      <c r="C643" s="12"/>
    </row>
    <row r="644" spans="1:3" x14ac:dyDescent="0.25">
      <c r="A644" s="14"/>
      <c r="C644" s="12"/>
    </row>
    <row r="645" spans="1:3" x14ac:dyDescent="0.25">
      <c r="A645" s="14"/>
      <c r="C645" s="12"/>
    </row>
    <row r="646" spans="1:3" x14ac:dyDescent="0.25">
      <c r="A646" s="14"/>
      <c r="C646" s="12"/>
    </row>
    <row r="647" spans="1:3" x14ac:dyDescent="0.25">
      <c r="A647" s="14"/>
      <c r="C647" s="12"/>
    </row>
    <row r="648" spans="1:3" x14ac:dyDescent="0.25">
      <c r="A648" s="14"/>
      <c r="C648" s="12"/>
    </row>
    <row r="649" spans="1:3" x14ac:dyDescent="0.25">
      <c r="A649" s="14"/>
      <c r="C649" s="12"/>
    </row>
    <row r="650" spans="1:3" x14ac:dyDescent="0.25">
      <c r="A650" s="14"/>
      <c r="C650" s="12"/>
    </row>
    <row r="651" spans="1:3" x14ac:dyDescent="0.25">
      <c r="A651" s="14"/>
      <c r="C651" s="12"/>
    </row>
    <row r="652" spans="1:3" x14ac:dyDescent="0.25">
      <c r="A652" s="14"/>
      <c r="C652" s="12"/>
    </row>
    <row r="653" spans="1:3" x14ac:dyDescent="0.25">
      <c r="A653" s="14"/>
      <c r="C653" s="12"/>
    </row>
    <row r="654" spans="1:3" x14ac:dyDescent="0.25">
      <c r="A654" s="14"/>
      <c r="C654" s="12"/>
    </row>
    <row r="655" spans="1:3" x14ac:dyDescent="0.25">
      <c r="A655" s="14"/>
      <c r="C655" s="12"/>
    </row>
    <row r="656" spans="1:3" x14ac:dyDescent="0.25">
      <c r="A656" s="14"/>
      <c r="C656" s="12"/>
    </row>
    <row r="657" spans="1:3" x14ac:dyDescent="0.25">
      <c r="A657" s="14"/>
      <c r="C657" s="12"/>
    </row>
    <row r="658" spans="1:3" x14ac:dyDescent="0.25">
      <c r="A658" s="14"/>
      <c r="C658" s="12"/>
    </row>
    <row r="659" spans="1:3" x14ac:dyDescent="0.25">
      <c r="A659" s="14"/>
      <c r="C659" s="12"/>
    </row>
    <row r="660" spans="1:3" x14ac:dyDescent="0.25">
      <c r="A660" s="14"/>
      <c r="C660" s="12"/>
    </row>
    <row r="661" spans="1:3" x14ac:dyDescent="0.25">
      <c r="A661" s="14"/>
      <c r="C661" s="12"/>
    </row>
    <row r="662" spans="1:3" x14ac:dyDescent="0.25">
      <c r="A662" s="14"/>
      <c r="C662" s="12"/>
    </row>
    <row r="663" spans="1:3" x14ac:dyDescent="0.25">
      <c r="A663" s="14"/>
      <c r="C663" s="12"/>
    </row>
    <row r="664" spans="1:3" x14ac:dyDescent="0.25">
      <c r="A664" s="14"/>
      <c r="C664" s="12"/>
    </row>
    <row r="665" spans="1:3" x14ac:dyDescent="0.25">
      <c r="A665" s="14"/>
      <c r="C665" s="12"/>
    </row>
    <row r="666" spans="1:3" x14ac:dyDescent="0.25">
      <c r="A666" s="14"/>
      <c r="C666" s="12"/>
    </row>
    <row r="667" spans="1:3" x14ac:dyDescent="0.25">
      <c r="A667" s="14"/>
      <c r="C667" s="12"/>
    </row>
    <row r="668" spans="1:3" x14ac:dyDescent="0.25">
      <c r="A668" s="14"/>
      <c r="C668" s="12"/>
    </row>
    <row r="669" spans="1:3" x14ac:dyDescent="0.25">
      <c r="A669" s="14"/>
      <c r="C669" s="12"/>
    </row>
    <row r="670" spans="1:3" x14ac:dyDescent="0.25">
      <c r="A670" s="14"/>
      <c r="C670" s="12"/>
    </row>
    <row r="671" spans="1:3" x14ac:dyDescent="0.25">
      <c r="A671" s="14"/>
      <c r="C671" s="12"/>
    </row>
    <row r="672" spans="1:3" x14ac:dyDescent="0.25">
      <c r="A672" s="14"/>
      <c r="C672" s="12"/>
    </row>
    <row r="673" spans="1:3" x14ac:dyDescent="0.25">
      <c r="A673" s="14"/>
      <c r="C673" s="12"/>
    </row>
    <row r="674" spans="1:3" x14ac:dyDescent="0.25">
      <c r="A674" s="14"/>
      <c r="C674" s="12"/>
    </row>
    <row r="675" spans="1:3" x14ac:dyDescent="0.25">
      <c r="A675" s="14"/>
      <c r="C675" s="12"/>
    </row>
    <row r="676" spans="1:3" x14ac:dyDescent="0.25">
      <c r="A676" s="14"/>
      <c r="C676" s="12"/>
    </row>
    <row r="677" spans="1:3" x14ac:dyDescent="0.25">
      <c r="A677" s="14"/>
      <c r="C677" s="12"/>
    </row>
    <row r="678" spans="1:3" x14ac:dyDescent="0.25">
      <c r="A678" s="14"/>
      <c r="C678" s="12"/>
    </row>
    <row r="679" spans="1:3" x14ac:dyDescent="0.25">
      <c r="A679" s="14"/>
      <c r="C679" s="12"/>
    </row>
    <row r="680" spans="1:3" x14ac:dyDescent="0.25">
      <c r="A680" s="14"/>
      <c r="C680" s="12"/>
    </row>
    <row r="681" spans="1:3" x14ac:dyDescent="0.25">
      <c r="A681" s="14"/>
      <c r="C681" s="12"/>
    </row>
    <row r="682" spans="1:3" x14ac:dyDescent="0.25">
      <c r="A682" s="14"/>
      <c r="C682" s="12"/>
    </row>
    <row r="683" spans="1:3" x14ac:dyDescent="0.25">
      <c r="A683" s="14"/>
      <c r="C683" s="12"/>
    </row>
    <row r="684" spans="1:3" x14ac:dyDescent="0.25">
      <c r="A684" s="14"/>
      <c r="C684" s="12"/>
    </row>
    <row r="685" spans="1:3" x14ac:dyDescent="0.25">
      <c r="A685" s="14"/>
      <c r="C685" s="12"/>
    </row>
    <row r="686" spans="1:3" x14ac:dyDescent="0.25">
      <c r="A686" s="14"/>
      <c r="C686" s="12"/>
    </row>
    <row r="687" spans="1:3" x14ac:dyDescent="0.25">
      <c r="A687" s="14"/>
      <c r="C687" s="12"/>
    </row>
    <row r="688" spans="1:3" x14ac:dyDescent="0.25">
      <c r="A688" s="14"/>
      <c r="C688" s="12"/>
    </row>
    <row r="689" spans="1:3" x14ac:dyDescent="0.25">
      <c r="A689" s="14"/>
      <c r="C689" s="12"/>
    </row>
    <row r="690" spans="1:3" x14ac:dyDescent="0.25">
      <c r="A690" s="14"/>
      <c r="C690" s="12"/>
    </row>
    <row r="691" spans="1:3" x14ac:dyDescent="0.25">
      <c r="A691" s="14"/>
      <c r="C691" s="12"/>
    </row>
    <row r="692" spans="1:3" x14ac:dyDescent="0.25">
      <c r="A692" s="14"/>
      <c r="C692" s="12"/>
    </row>
    <row r="693" spans="1:3" x14ac:dyDescent="0.25">
      <c r="A693" s="14"/>
      <c r="C693" s="12"/>
    </row>
    <row r="694" spans="1:3" x14ac:dyDescent="0.25">
      <c r="A694" s="14"/>
      <c r="C694" s="12"/>
    </row>
    <row r="695" spans="1:3" x14ac:dyDescent="0.25">
      <c r="A695" s="14"/>
      <c r="C695" s="12"/>
    </row>
    <row r="696" spans="1:3" x14ac:dyDescent="0.25">
      <c r="A696" s="14"/>
      <c r="C696" s="12"/>
    </row>
    <row r="697" spans="1:3" x14ac:dyDescent="0.25">
      <c r="A697" s="14"/>
      <c r="C697" s="12"/>
    </row>
    <row r="698" spans="1:3" x14ac:dyDescent="0.25">
      <c r="A698" s="14"/>
      <c r="C698" s="12"/>
    </row>
    <row r="699" spans="1:3" x14ac:dyDescent="0.25">
      <c r="A699" s="14"/>
      <c r="C699" s="12"/>
    </row>
    <row r="700" spans="1:3" x14ac:dyDescent="0.25">
      <c r="A700" s="14"/>
      <c r="C700" s="12"/>
    </row>
    <row r="701" spans="1:3" x14ac:dyDescent="0.25">
      <c r="A701" s="14"/>
      <c r="C701" s="12"/>
    </row>
    <row r="702" spans="1:3" x14ac:dyDescent="0.25">
      <c r="A702" s="14"/>
      <c r="C702" s="12"/>
    </row>
    <row r="703" spans="1:3" x14ac:dyDescent="0.25">
      <c r="A703" s="14"/>
      <c r="C703" s="12"/>
    </row>
    <row r="704" spans="1:3" x14ac:dyDescent="0.25">
      <c r="A704" s="14"/>
      <c r="C704" s="12"/>
    </row>
    <row r="705" spans="1:3" x14ac:dyDescent="0.25">
      <c r="A705" s="14"/>
      <c r="C705" s="12"/>
    </row>
    <row r="706" spans="1:3" x14ac:dyDescent="0.25">
      <c r="A706" s="14"/>
      <c r="C706" s="12"/>
    </row>
    <row r="707" spans="1:3" x14ac:dyDescent="0.25">
      <c r="A707" s="14"/>
      <c r="C707" s="12"/>
    </row>
    <row r="708" spans="1:3" x14ac:dyDescent="0.25">
      <c r="A708" s="14"/>
      <c r="C708" s="12"/>
    </row>
    <row r="709" spans="1:3" x14ac:dyDescent="0.25">
      <c r="A709" s="14"/>
      <c r="C709" s="12"/>
    </row>
    <row r="710" spans="1:3" x14ac:dyDescent="0.25">
      <c r="A710" s="14"/>
      <c r="C710" s="12"/>
    </row>
    <row r="711" spans="1:3" x14ac:dyDescent="0.25">
      <c r="A711" s="14"/>
      <c r="C711" s="12"/>
    </row>
    <row r="712" spans="1:3" x14ac:dyDescent="0.25">
      <c r="A712" s="14"/>
      <c r="C712" s="12"/>
    </row>
    <row r="713" spans="1:3" x14ac:dyDescent="0.25">
      <c r="A713" s="14"/>
      <c r="C713" s="12"/>
    </row>
    <row r="714" spans="1:3" x14ac:dyDescent="0.25">
      <c r="A714" s="14"/>
      <c r="C714" s="12"/>
    </row>
    <row r="715" spans="1:3" x14ac:dyDescent="0.25">
      <c r="A715" s="14"/>
      <c r="C715" s="12"/>
    </row>
    <row r="716" spans="1:3" x14ac:dyDescent="0.25">
      <c r="A716" s="14"/>
      <c r="C716" s="12"/>
    </row>
    <row r="717" spans="1:3" x14ac:dyDescent="0.25">
      <c r="A717" s="14"/>
      <c r="C717" s="12"/>
    </row>
    <row r="718" spans="1:3" x14ac:dyDescent="0.25">
      <c r="A718" s="14"/>
      <c r="C718" s="12"/>
    </row>
    <row r="719" spans="1:3" x14ac:dyDescent="0.25">
      <c r="A719" s="14"/>
      <c r="C719" s="12"/>
    </row>
    <row r="720" spans="1:3" x14ac:dyDescent="0.25">
      <c r="A720" s="14"/>
      <c r="C720" s="12"/>
    </row>
    <row r="721" spans="1:3" x14ac:dyDescent="0.25">
      <c r="A721" s="14"/>
      <c r="C721" s="12"/>
    </row>
    <row r="722" spans="1:3" x14ac:dyDescent="0.25">
      <c r="A722" s="14"/>
      <c r="C722" s="12"/>
    </row>
    <row r="723" spans="1:3" x14ac:dyDescent="0.25">
      <c r="A723" s="14"/>
      <c r="C723" s="12"/>
    </row>
    <row r="724" spans="1:3" x14ac:dyDescent="0.25">
      <c r="A724" s="14"/>
      <c r="C724" s="12"/>
    </row>
    <row r="725" spans="1:3" x14ac:dyDescent="0.25">
      <c r="A725" s="14"/>
      <c r="C725" s="12"/>
    </row>
    <row r="726" spans="1:3" x14ac:dyDescent="0.25">
      <c r="A726" s="14"/>
      <c r="C726" s="12"/>
    </row>
    <row r="727" spans="1:3" x14ac:dyDescent="0.25">
      <c r="A727" s="14"/>
      <c r="C727" s="12"/>
    </row>
    <row r="728" spans="1:3" x14ac:dyDescent="0.25">
      <c r="A728" s="14"/>
      <c r="C728" s="12"/>
    </row>
    <row r="729" spans="1:3" x14ac:dyDescent="0.25">
      <c r="A729" s="14"/>
      <c r="C729" s="12"/>
    </row>
    <row r="730" spans="1:3" x14ac:dyDescent="0.25">
      <c r="A730" s="14"/>
      <c r="C730" s="12"/>
    </row>
    <row r="731" spans="1:3" x14ac:dyDescent="0.25">
      <c r="A731" s="14"/>
      <c r="C731" s="12"/>
    </row>
    <row r="732" spans="1:3" x14ac:dyDescent="0.25">
      <c r="A732" s="14"/>
      <c r="C732" s="12"/>
    </row>
    <row r="733" spans="1:3" x14ac:dyDescent="0.25">
      <c r="A733" s="14"/>
      <c r="C733" s="12"/>
    </row>
    <row r="734" spans="1:3" x14ac:dyDescent="0.25">
      <c r="A734" s="14"/>
      <c r="C734" s="12"/>
    </row>
    <row r="735" spans="1:3" x14ac:dyDescent="0.25">
      <c r="A735" s="14"/>
      <c r="C735" s="12"/>
    </row>
    <row r="736" spans="1:3" x14ac:dyDescent="0.25">
      <c r="A736" s="14"/>
      <c r="C736" s="12"/>
    </row>
    <row r="737" spans="1:3" x14ac:dyDescent="0.25">
      <c r="A737" s="14"/>
      <c r="C737" s="12"/>
    </row>
    <row r="738" spans="1:3" x14ac:dyDescent="0.25">
      <c r="A738" s="14"/>
      <c r="C738" s="12"/>
    </row>
    <row r="739" spans="1:3" x14ac:dyDescent="0.25">
      <c r="A739" s="14"/>
      <c r="C739" s="12"/>
    </row>
    <row r="740" spans="1:3" x14ac:dyDescent="0.25">
      <c r="A740" s="14"/>
      <c r="C740" s="12"/>
    </row>
    <row r="741" spans="1:3" x14ac:dyDescent="0.25">
      <c r="A741" s="14"/>
      <c r="C741" s="12"/>
    </row>
    <row r="742" spans="1:3" x14ac:dyDescent="0.25">
      <c r="A742" s="14"/>
      <c r="C742" s="12"/>
    </row>
    <row r="743" spans="1:3" x14ac:dyDescent="0.25">
      <c r="A743" s="14"/>
      <c r="C743" s="12"/>
    </row>
    <row r="744" spans="1:3" x14ac:dyDescent="0.25">
      <c r="A744" s="14"/>
      <c r="C744" s="12"/>
    </row>
    <row r="745" spans="1:3" x14ac:dyDescent="0.25">
      <c r="A745" s="14"/>
      <c r="C745" s="12"/>
    </row>
    <row r="746" spans="1:3" x14ac:dyDescent="0.25">
      <c r="A746" s="14"/>
      <c r="C746" s="12"/>
    </row>
    <row r="747" spans="1:3" x14ac:dyDescent="0.25">
      <c r="A747" s="14"/>
      <c r="C747" s="12"/>
    </row>
    <row r="748" spans="1:3" x14ac:dyDescent="0.25">
      <c r="A748" s="14"/>
      <c r="C748" s="12"/>
    </row>
    <row r="749" spans="1:3" x14ac:dyDescent="0.25">
      <c r="A749" s="14"/>
      <c r="C749" s="12"/>
    </row>
    <row r="750" spans="1:3" x14ac:dyDescent="0.25">
      <c r="A750" s="14"/>
      <c r="C750" s="12"/>
    </row>
    <row r="751" spans="1:3" x14ac:dyDescent="0.25">
      <c r="A751" s="14"/>
      <c r="C751" s="12"/>
    </row>
    <row r="752" spans="1:3" x14ac:dyDescent="0.25">
      <c r="A752" s="14"/>
      <c r="C752" s="12"/>
    </row>
    <row r="753" spans="1:3" x14ac:dyDescent="0.25">
      <c r="A753" s="14"/>
      <c r="C753" s="12"/>
    </row>
    <row r="754" spans="1:3" x14ac:dyDescent="0.25">
      <c r="A754" s="14"/>
      <c r="C754" s="12"/>
    </row>
    <row r="755" spans="1:3" x14ac:dyDescent="0.25">
      <c r="A755" s="14"/>
      <c r="C755" s="12"/>
    </row>
    <row r="756" spans="1:3" x14ac:dyDescent="0.25">
      <c r="A756" s="14"/>
      <c r="C756" s="12"/>
    </row>
    <row r="757" spans="1:3" x14ac:dyDescent="0.25">
      <c r="A757" s="14"/>
      <c r="C757" s="12"/>
    </row>
    <row r="758" spans="1:3" x14ac:dyDescent="0.25">
      <c r="A758" s="14"/>
      <c r="C758" s="12"/>
    </row>
    <row r="759" spans="1:3" x14ac:dyDescent="0.25">
      <c r="A759" s="14"/>
      <c r="C759" s="12"/>
    </row>
    <row r="760" spans="1:3" x14ac:dyDescent="0.25">
      <c r="A760" s="14"/>
      <c r="C760" s="12"/>
    </row>
    <row r="761" spans="1:3" x14ac:dyDescent="0.25">
      <c r="A761" s="14"/>
      <c r="C761" s="12"/>
    </row>
    <row r="762" spans="1:3" x14ac:dyDescent="0.25">
      <c r="A762" s="14"/>
      <c r="C762" s="12"/>
    </row>
    <row r="763" spans="1:3" x14ac:dyDescent="0.25">
      <c r="A763" s="14"/>
      <c r="C763" s="12"/>
    </row>
    <row r="764" spans="1:3" x14ac:dyDescent="0.25">
      <c r="A764" s="14"/>
      <c r="C764" s="12"/>
    </row>
    <row r="765" spans="1:3" x14ac:dyDescent="0.25">
      <c r="A765" s="14"/>
      <c r="C765" s="12"/>
    </row>
    <row r="766" spans="1:3" x14ac:dyDescent="0.25">
      <c r="A766" s="14"/>
      <c r="C766" s="12"/>
    </row>
    <row r="767" spans="1:3" x14ac:dyDescent="0.25">
      <c r="A767" s="14"/>
      <c r="C767" s="12"/>
    </row>
    <row r="768" spans="1:3" x14ac:dyDescent="0.25">
      <c r="A768" s="14"/>
      <c r="C768" s="12"/>
    </row>
    <row r="769" spans="1:3" x14ac:dyDescent="0.25">
      <c r="A769" s="14"/>
      <c r="C769" s="12"/>
    </row>
    <row r="770" spans="1:3" x14ac:dyDescent="0.25">
      <c r="A770" s="14"/>
      <c r="C770" s="12"/>
    </row>
    <row r="771" spans="1:3" x14ac:dyDescent="0.25">
      <c r="A771" s="14"/>
      <c r="C771" s="12"/>
    </row>
    <row r="772" spans="1:3" x14ac:dyDescent="0.25">
      <c r="A772" s="14"/>
      <c r="C772" s="12"/>
    </row>
    <row r="773" spans="1:3" x14ac:dyDescent="0.25">
      <c r="A773" s="14"/>
      <c r="C773" s="12"/>
    </row>
    <row r="774" spans="1:3" x14ac:dyDescent="0.25">
      <c r="A774" s="14"/>
      <c r="C774" s="12"/>
    </row>
    <row r="775" spans="1:3" x14ac:dyDescent="0.25">
      <c r="A775" s="14"/>
      <c r="C775" s="12"/>
    </row>
    <row r="776" spans="1:3" x14ac:dyDescent="0.25">
      <c r="A776" s="14"/>
      <c r="C776" s="12"/>
    </row>
    <row r="777" spans="1:3" x14ac:dyDescent="0.25">
      <c r="A777" s="14"/>
      <c r="C777" s="12"/>
    </row>
    <row r="778" spans="1:3" x14ac:dyDescent="0.25">
      <c r="A778" s="14"/>
      <c r="C778" s="12"/>
    </row>
    <row r="779" spans="1:3" x14ac:dyDescent="0.25">
      <c r="A779" s="14"/>
      <c r="C779" s="12"/>
    </row>
    <row r="780" spans="1:3" x14ac:dyDescent="0.25">
      <c r="A780" s="14"/>
      <c r="C780" s="12"/>
    </row>
    <row r="781" spans="1:3" x14ac:dyDescent="0.25">
      <c r="A781" s="14"/>
      <c r="C781" s="12"/>
    </row>
    <row r="782" spans="1:3" x14ac:dyDescent="0.25">
      <c r="A782" s="14"/>
      <c r="C782" s="12"/>
    </row>
    <row r="783" spans="1:3" x14ac:dyDescent="0.25">
      <c r="A783" s="14"/>
      <c r="C783" s="12"/>
    </row>
    <row r="784" spans="1:3" x14ac:dyDescent="0.25">
      <c r="A784" s="14"/>
      <c r="C784" s="12"/>
    </row>
    <row r="785" spans="1:3" x14ac:dyDescent="0.25">
      <c r="A785" s="14"/>
      <c r="C785" s="12"/>
    </row>
    <row r="786" spans="1:3" x14ac:dyDescent="0.25">
      <c r="A786" s="14"/>
      <c r="C786" s="12"/>
    </row>
    <row r="787" spans="1:3" x14ac:dyDescent="0.25">
      <c r="A787" s="14"/>
      <c r="C787" s="12"/>
    </row>
    <row r="788" spans="1:3" x14ac:dyDescent="0.25">
      <c r="A788" s="14"/>
      <c r="C788" s="12"/>
    </row>
    <row r="789" spans="1:3" x14ac:dyDescent="0.25">
      <c r="A789" s="14"/>
      <c r="C789" s="12"/>
    </row>
    <row r="790" spans="1:3" x14ac:dyDescent="0.25">
      <c r="A790" s="14"/>
      <c r="C790" s="12"/>
    </row>
    <row r="791" spans="1:3" x14ac:dyDescent="0.25">
      <c r="A791" s="14"/>
      <c r="C791" s="12"/>
    </row>
    <row r="792" spans="1:3" x14ac:dyDescent="0.25">
      <c r="A792" s="14"/>
      <c r="C792" s="12"/>
    </row>
    <row r="793" spans="1:3" x14ac:dyDescent="0.25">
      <c r="A793" s="14"/>
      <c r="C793" s="12"/>
    </row>
    <row r="794" spans="1:3" x14ac:dyDescent="0.25">
      <c r="A794" s="14"/>
      <c r="C794" s="12"/>
    </row>
    <row r="795" spans="1:3" x14ac:dyDescent="0.25">
      <c r="A795" s="14"/>
      <c r="C795" s="12"/>
    </row>
    <row r="796" spans="1:3" x14ac:dyDescent="0.25">
      <c r="A796" s="14"/>
      <c r="C796" s="12"/>
    </row>
    <row r="797" spans="1:3" x14ac:dyDescent="0.25">
      <c r="A797" s="14"/>
      <c r="C797" s="12"/>
    </row>
    <row r="798" spans="1:3" x14ac:dyDescent="0.25">
      <c r="A798" s="14"/>
      <c r="C798" s="12"/>
    </row>
    <row r="799" spans="1:3" x14ac:dyDescent="0.25">
      <c r="A799" s="14"/>
      <c r="C799" s="12"/>
    </row>
    <row r="800" spans="1:3" x14ac:dyDescent="0.25">
      <c r="A800" s="14"/>
      <c r="C800" s="12"/>
    </row>
    <row r="801" spans="1:3" x14ac:dyDescent="0.25">
      <c r="A801" s="14"/>
      <c r="C801" s="12"/>
    </row>
    <row r="802" spans="1:3" x14ac:dyDescent="0.25">
      <c r="A802" s="14"/>
      <c r="C802" s="12"/>
    </row>
    <row r="803" spans="1:3" x14ac:dyDescent="0.25">
      <c r="A803" s="14"/>
      <c r="C803" s="12"/>
    </row>
    <row r="804" spans="1:3" x14ac:dyDescent="0.25">
      <c r="A804" s="14"/>
      <c r="C804" s="12"/>
    </row>
    <row r="805" spans="1:3" x14ac:dyDescent="0.25">
      <c r="A805" s="14"/>
      <c r="C805" s="12"/>
    </row>
    <row r="806" spans="1:3" x14ac:dyDescent="0.25">
      <c r="A806" s="14"/>
      <c r="C806" s="12"/>
    </row>
    <row r="807" spans="1:3" x14ac:dyDescent="0.25">
      <c r="A807" s="14"/>
      <c r="C807" s="12"/>
    </row>
    <row r="808" spans="1:3" x14ac:dyDescent="0.25">
      <c r="A808" s="14"/>
      <c r="C808" s="12"/>
    </row>
    <row r="809" spans="1:3" x14ac:dyDescent="0.25">
      <c r="A809" s="14"/>
      <c r="C809" s="12"/>
    </row>
    <row r="810" spans="1:3" x14ac:dyDescent="0.25">
      <c r="A810" s="14"/>
      <c r="C810" s="12"/>
    </row>
    <row r="811" spans="1:3" x14ac:dyDescent="0.25">
      <c r="A811" s="14"/>
      <c r="C811" s="12"/>
    </row>
    <row r="812" spans="1:3" x14ac:dyDescent="0.25">
      <c r="A812" s="14"/>
      <c r="C812" s="12"/>
    </row>
    <row r="813" spans="1:3" x14ac:dyDescent="0.25">
      <c r="A813" s="14"/>
      <c r="C813" s="12"/>
    </row>
    <row r="814" spans="1:3" x14ac:dyDescent="0.25">
      <c r="A814" s="14"/>
      <c r="C814" s="12"/>
    </row>
    <row r="815" spans="1:3" x14ac:dyDescent="0.25">
      <c r="A815" s="14"/>
      <c r="C815" s="12"/>
    </row>
    <row r="816" spans="1:3" x14ac:dyDescent="0.25">
      <c r="A816" s="14"/>
      <c r="C816" s="12"/>
    </row>
    <row r="817" spans="1:3" x14ac:dyDescent="0.25">
      <c r="A817" s="14"/>
      <c r="C817" s="12"/>
    </row>
    <row r="818" spans="1:3" x14ac:dyDescent="0.25">
      <c r="A818" s="14"/>
      <c r="C818" s="12"/>
    </row>
    <row r="819" spans="1:3" x14ac:dyDescent="0.25">
      <c r="A819" s="14"/>
      <c r="C819" s="12"/>
    </row>
    <row r="820" spans="1:3" x14ac:dyDescent="0.25">
      <c r="A820" s="14"/>
      <c r="C820" s="12"/>
    </row>
    <row r="821" spans="1:3" x14ac:dyDescent="0.25">
      <c r="A821" s="14"/>
      <c r="C821" s="12"/>
    </row>
    <row r="822" spans="1:3" x14ac:dyDescent="0.25">
      <c r="A822" s="14"/>
      <c r="C822" s="12"/>
    </row>
    <row r="823" spans="1:3" x14ac:dyDescent="0.25">
      <c r="A823" s="14"/>
      <c r="C823" s="12"/>
    </row>
    <row r="824" spans="1:3" x14ac:dyDescent="0.25">
      <c r="A824" s="14"/>
      <c r="C824" s="12"/>
    </row>
    <row r="825" spans="1:3" x14ac:dyDescent="0.25">
      <c r="A825" s="14"/>
      <c r="C825" s="12"/>
    </row>
    <row r="826" spans="1:3" x14ac:dyDescent="0.25">
      <c r="A826" s="14"/>
      <c r="C826" s="12"/>
    </row>
    <row r="827" spans="1:3" x14ac:dyDescent="0.25">
      <c r="A827" s="14"/>
      <c r="C827" s="12"/>
    </row>
    <row r="828" spans="1:3" x14ac:dyDescent="0.25">
      <c r="A828" s="14"/>
      <c r="C828" s="12"/>
    </row>
    <row r="829" spans="1:3" x14ac:dyDescent="0.25">
      <c r="A829" s="14"/>
      <c r="C829" s="12"/>
    </row>
    <row r="830" spans="1:3" x14ac:dyDescent="0.25">
      <c r="A830" s="14"/>
      <c r="C830" s="12"/>
    </row>
    <row r="831" spans="1:3" x14ac:dyDescent="0.25">
      <c r="A831" s="14"/>
      <c r="C831" s="12"/>
    </row>
    <row r="832" spans="1:3" x14ac:dyDescent="0.25">
      <c r="A832" s="14"/>
      <c r="C832" s="12"/>
    </row>
    <row r="833" spans="1:3" x14ac:dyDescent="0.25">
      <c r="A833" s="14"/>
      <c r="C833" s="12"/>
    </row>
    <row r="834" spans="1:3" x14ac:dyDescent="0.25">
      <c r="A834" s="14"/>
      <c r="C834" s="12"/>
    </row>
    <row r="835" spans="1:3" x14ac:dyDescent="0.25">
      <c r="A835" s="14"/>
      <c r="C835" s="12"/>
    </row>
    <row r="836" spans="1:3" x14ac:dyDescent="0.25">
      <c r="A836" s="14"/>
      <c r="C836" s="12"/>
    </row>
    <row r="837" spans="1:3" x14ac:dyDescent="0.25">
      <c r="A837" s="14"/>
      <c r="C837" s="12"/>
    </row>
    <row r="838" spans="1:3" x14ac:dyDescent="0.25">
      <c r="A838" s="14"/>
      <c r="C838" s="12"/>
    </row>
    <row r="839" spans="1:3" x14ac:dyDescent="0.25">
      <c r="A839" s="14"/>
      <c r="C839" s="12"/>
    </row>
    <row r="840" spans="1:3" x14ac:dyDescent="0.25">
      <c r="A840" s="14"/>
      <c r="C840" s="12"/>
    </row>
    <row r="841" spans="1:3" x14ac:dyDescent="0.25">
      <c r="A841" s="14"/>
      <c r="C841" s="12"/>
    </row>
    <row r="842" spans="1:3" x14ac:dyDescent="0.25">
      <c r="A842" s="14"/>
      <c r="C842" s="12"/>
    </row>
    <row r="843" spans="1:3" x14ac:dyDescent="0.25">
      <c r="A843" s="14"/>
      <c r="C843" s="12"/>
    </row>
    <row r="844" spans="1:3" x14ac:dyDescent="0.25">
      <c r="A844" s="14"/>
      <c r="C844" s="12"/>
    </row>
    <row r="845" spans="1:3" x14ac:dyDescent="0.25">
      <c r="A845" s="14"/>
      <c r="C845" s="12"/>
    </row>
    <row r="846" spans="1:3" x14ac:dyDescent="0.25">
      <c r="A846" s="14"/>
      <c r="C846" s="12"/>
    </row>
    <row r="847" spans="1:3" x14ac:dyDescent="0.25">
      <c r="A847" s="14"/>
      <c r="C847" s="12"/>
    </row>
    <row r="848" spans="1:3" x14ac:dyDescent="0.25">
      <c r="A848" s="14"/>
      <c r="C848" s="12"/>
    </row>
    <row r="849" spans="1:3" x14ac:dyDescent="0.25">
      <c r="A849" s="14"/>
      <c r="C849" s="12"/>
    </row>
    <row r="850" spans="1:3" x14ac:dyDescent="0.25">
      <c r="A850" s="14"/>
      <c r="C850" s="12"/>
    </row>
    <row r="851" spans="1:3" x14ac:dyDescent="0.25">
      <c r="A851" s="14"/>
      <c r="C851" s="12"/>
    </row>
    <row r="852" spans="1:3" x14ac:dyDescent="0.25">
      <c r="A852" s="14"/>
      <c r="C852" s="12"/>
    </row>
    <row r="853" spans="1:3" x14ac:dyDescent="0.25">
      <c r="A853" s="14"/>
      <c r="C853" s="12"/>
    </row>
    <row r="854" spans="1:3" x14ac:dyDescent="0.25">
      <c r="A854" s="14"/>
      <c r="C854" s="12"/>
    </row>
    <row r="855" spans="1:3" x14ac:dyDescent="0.25">
      <c r="A855" s="14"/>
      <c r="C855" s="12"/>
    </row>
    <row r="856" spans="1:3" x14ac:dyDescent="0.25">
      <c r="A856" s="14"/>
      <c r="C856" s="12"/>
    </row>
    <row r="857" spans="1:3" x14ac:dyDescent="0.25">
      <c r="A857" s="14"/>
      <c r="C857" s="12"/>
    </row>
    <row r="858" spans="1:3" x14ac:dyDescent="0.25">
      <c r="A858" s="14"/>
      <c r="C858" s="12"/>
    </row>
    <row r="859" spans="1:3" x14ac:dyDescent="0.25">
      <c r="A859" s="14"/>
      <c r="C859" s="12"/>
    </row>
    <row r="860" spans="1:3" x14ac:dyDescent="0.25">
      <c r="A860" s="14"/>
      <c r="C860" s="12"/>
    </row>
    <row r="861" spans="1:3" x14ac:dyDescent="0.25">
      <c r="A861" s="14"/>
      <c r="C861" s="12"/>
    </row>
    <row r="862" spans="1:3" x14ac:dyDescent="0.25">
      <c r="A862" s="14"/>
      <c r="C862" s="12"/>
    </row>
    <row r="863" spans="1:3" x14ac:dyDescent="0.25">
      <c r="A863" s="14"/>
      <c r="C863" s="12"/>
    </row>
    <row r="864" spans="1:3" x14ac:dyDescent="0.25">
      <c r="A864" s="14"/>
      <c r="C864" s="12"/>
    </row>
    <row r="865" spans="1:3" x14ac:dyDescent="0.25">
      <c r="A865" s="14"/>
      <c r="C865" s="12"/>
    </row>
    <row r="866" spans="1:3" x14ac:dyDescent="0.25">
      <c r="A866" s="14"/>
      <c r="C866" s="12"/>
    </row>
    <row r="867" spans="1:3" x14ac:dyDescent="0.25">
      <c r="A867" s="14"/>
      <c r="C867" s="12"/>
    </row>
    <row r="868" spans="1:3" x14ac:dyDescent="0.25">
      <c r="A868" s="14"/>
      <c r="C868" s="12"/>
    </row>
    <row r="869" spans="1:3" x14ac:dyDescent="0.25">
      <c r="A869" s="14"/>
      <c r="C869" s="12"/>
    </row>
    <row r="870" spans="1:3" x14ac:dyDescent="0.25">
      <c r="A870" s="14"/>
      <c r="C870" s="12"/>
    </row>
    <row r="871" spans="1:3" x14ac:dyDescent="0.25">
      <c r="A871" s="14"/>
      <c r="C871" s="12"/>
    </row>
    <row r="872" spans="1:3" x14ac:dyDescent="0.25">
      <c r="A872" s="14"/>
      <c r="C872" s="12"/>
    </row>
    <row r="873" spans="1:3" x14ac:dyDescent="0.25">
      <c r="A873" s="14"/>
      <c r="C873" s="12"/>
    </row>
    <row r="874" spans="1:3" x14ac:dyDescent="0.25">
      <c r="A874" s="14"/>
      <c r="C874" s="12"/>
    </row>
    <row r="875" spans="1:3" x14ac:dyDescent="0.25">
      <c r="A875" s="14"/>
      <c r="C875" s="12"/>
    </row>
    <row r="876" spans="1:3" x14ac:dyDescent="0.25">
      <c r="A876" s="14"/>
      <c r="C876" s="12"/>
    </row>
    <row r="877" spans="1:3" x14ac:dyDescent="0.25">
      <c r="A877" s="14"/>
      <c r="C877" s="12"/>
    </row>
    <row r="878" spans="1:3" x14ac:dyDescent="0.25">
      <c r="A878" s="14"/>
      <c r="C878" s="12"/>
    </row>
    <row r="879" spans="1:3" x14ac:dyDescent="0.25">
      <c r="A879" s="14"/>
      <c r="C879" s="12"/>
    </row>
    <row r="880" spans="1:3" x14ac:dyDescent="0.25">
      <c r="A880" s="14"/>
      <c r="C880" s="12"/>
    </row>
    <row r="881" spans="1:3" x14ac:dyDescent="0.25">
      <c r="A881" s="14"/>
      <c r="C881" s="12"/>
    </row>
    <row r="882" spans="1:3" x14ac:dyDescent="0.25">
      <c r="A882" s="14"/>
      <c r="C882" s="12"/>
    </row>
    <row r="883" spans="1:3" x14ac:dyDescent="0.25">
      <c r="A883" s="14"/>
      <c r="C883" s="12"/>
    </row>
    <row r="884" spans="1:3" x14ac:dyDescent="0.25">
      <c r="A884" s="14"/>
      <c r="C884" s="12"/>
    </row>
    <row r="885" spans="1:3" x14ac:dyDescent="0.25">
      <c r="A885" s="14"/>
      <c r="C885" s="12"/>
    </row>
    <row r="886" spans="1:3" x14ac:dyDescent="0.25">
      <c r="A886" s="14"/>
      <c r="C886" s="12"/>
    </row>
    <row r="887" spans="1:3" x14ac:dyDescent="0.25">
      <c r="A887" s="14"/>
      <c r="C887" s="12"/>
    </row>
    <row r="888" spans="1:3" x14ac:dyDescent="0.25">
      <c r="A888" s="14"/>
      <c r="C888" s="12"/>
    </row>
    <row r="889" spans="1:3" x14ac:dyDescent="0.25">
      <c r="A889" s="14"/>
      <c r="C889" s="12"/>
    </row>
    <row r="890" spans="1:3" x14ac:dyDescent="0.25">
      <c r="A890" s="14"/>
      <c r="C890" s="12"/>
    </row>
    <row r="891" spans="1:3" x14ac:dyDescent="0.25">
      <c r="A891" s="14"/>
      <c r="C891" s="12"/>
    </row>
    <row r="892" spans="1:3" x14ac:dyDescent="0.25">
      <c r="A892" s="14"/>
      <c r="C892" s="12"/>
    </row>
    <row r="893" spans="1:3" x14ac:dyDescent="0.25">
      <c r="A893" s="14"/>
      <c r="C893" s="12"/>
    </row>
    <row r="894" spans="1:3" x14ac:dyDescent="0.25">
      <c r="A894" s="14"/>
      <c r="C894" s="12"/>
    </row>
    <row r="895" spans="1:3" x14ac:dyDescent="0.25">
      <c r="A895" s="14"/>
      <c r="C895" s="12"/>
    </row>
    <row r="896" spans="1:3" x14ac:dyDescent="0.25">
      <c r="A896" s="14"/>
      <c r="C896" s="12"/>
    </row>
    <row r="897" spans="1:3" x14ac:dyDescent="0.25">
      <c r="A897" s="14"/>
      <c r="C897" s="12"/>
    </row>
    <row r="898" spans="1:3" x14ac:dyDescent="0.25">
      <c r="A898" s="14"/>
      <c r="C898" s="12"/>
    </row>
    <row r="899" spans="1:3" x14ac:dyDescent="0.25">
      <c r="A899" s="14"/>
      <c r="C899" s="12"/>
    </row>
    <row r="900" spans="1:3" x14ac:dyDescent="0.25">
      <c r="A900" s="14"/>
      <c r="C900" s="12"/>
    </row>
    <row r="901" spans="1:3" x14ac:dyDescent="0.25">
      <c r="A901" s="14"/>
      <c r="C901" s="12"/>
    </row>
    <row r="902" spans="1:3" x14ac:dyDescent="0.25">
      <c r="A902" s="14"/>
      <c r="C902" s="12"/>
    </row>
    <row r="903" spans="1:3" x14ac:dyDescent="0.25">
      <c r="A903" s="14"/>
      <c r="C903" s="12"/>
    </row>
    <row r="904" spans="1:3" x14ac:dyDescent="0.25">
      <c r="A904" s="14"/>
      <c r="C904" s="12"/>
    </row>
    <row r="905" spans="1:3" x14ac:dyDescent="0.25">
      <c r="A905" s="14"/>
      <c r="C905" s="12"/>
    </row>
    <row r="906" spans="1:3" x14ac:dyDescent="0.25">
      <c r="A906" s="14"/>
      <c r="C906" s="12"/>
    </row>
    <row r="907" spans="1:3" x14ac:dyDescent="0.25">
      <c r="A907" s="14"/>
      <c r="C907" s="12"/>
    </row>
    <row r="908" spans="1:3" x14ac:dyDescent="0.25">
      <c r="A908" s="14"/>
      <c r="C908" s="12"/>
    </row>
    <row r="909" spans="1:3" x14ac:dyDescent="0.25">
      <c r="A909" s="14"/>
      <c r="C909" s="12"/>
    </row>
    <row r="910" spans="1:3" x14ac:dyDescent="0.25">
      <c r="A910" s="14"/>
      <c r="C910" s="12"/>
    </row>
    <row r="911" spans="1:3" x14ac:dyDescent="0.25">
      <c r="A911" s="14"/>
      <c r="C911" s="12"/>
    </row>
    <row r="912" spans="1:3" x14ac:dyDescent="0.25">
      <c r="A912" s="14"/>
      <c r="C912" s="12"/>
    </row>
    <row r="913" spans="1:3" x14ac:dyDescent="0.25">
      <c r="A913" s="14"/>
      <c r="C913" s="12"/>
    </row>
    <row r="914" spans="1:3" x14ac:dyDescent="0.25">
      <c r="A914" s="14"/>
      <c r="C914" s="12"/>
    </row>
    <row r="915" spans="1:3" x14ac:dyDescent="0.25">
      <c r="A915" s="14"/>
      <c r="C915" s="12"/>
    </row>
    <row r="916" spans="1:3" x14ac:dyDescent="0.25">
      <c r="A916" s="14"/>
      <c r="C916" s="12"/>
    </row>
    <row r="917" spans="1:3" x14ac:dyDescent="0.25">
      <c r="A917" s="14"/>
      <c r="C917" s="12"/>
    </row>
    <row r="918" spans="1:3" x14ac:dyDescent="0.25">
      <c r="A918" s="14"/>
      <c r="C918" s="12"/>
    </row>
    <row r="919" spans="1:3" x14ac:dyDescent="0.25">
      <c r="A919" s="14"/>
      <c r="C919" s="12"/>
    </row>
    <row r="920" spans="1:3" x14ac:dyDescent="0.25">
      <c r="A920" s="14"/>
      <c r="C920" s="12"/>
    </row>
    <row r="921" spans="1:3" x14ac:dyDescent="0.25">
      <c r="A921" s="14"/>
      <c r="C921" s="12"/>
    </row>
    <row r="922" spans="1:3" x14ac:dyDescent="0.25">
      <c r="A922" s="14"/>
      <c r="C922" s="12"/>
    </row>
    <row r="923" spans="1:3" x14ac:dyDescent="0.25">
      <c r="A923" s="14"/>
      <c r="C923" s="12"/>
    </row>
    <row r="924" spans="1:3" x14ac:dyDescent="0.25">
      <c r="A924" s="14"/>
      <c r="C924" s="12"/>
    </row>
    <row r="925" spans="1:3" x14ac:dyDescent="0.25">
      <c r="A925" s="14"/>
      <c r="C925" s="12"/>
    </row>
    <row r="926" spans="1:3" x14ac:dyDescent="0.25">
      <c r="A926" s="14"/>
      <c r="C926" s="12"/>
    </row>
    <row r="927" spans="1:3" x14ac:dyDescent="0.25">
      <c r="A927" s="14"/>
      <c r="C927" s="12"/>
    </row>
    <row r="928" spans="1:3" x14ac:dyDescent="0.25">
      <c r="A928" s="14"/>
      <c r="C928" s="12"/>
    </row>
    <row r="929" spans="1:3" x14ac:dyDescent="0.25">
      <c r="A929" s="14"/>
      <c r="C929" s="12"/>
    </row>
    <row r="930" spans="1:3" x14ac:dyDescent="0.25">
      <c r="A930" s="14"/>
      <c r="C930" s="12"/>
    </row>
    <row r="931" spans="1:3" x14ac:dyDescent="0.25">
      <c r="A931" s="14"/>
      <c r="C931" s="12"/>
    </row>
    <row r="932" spans="1:3" x14ac:dyDescent="0.25">
      <c r="A932" s="14"/>
      <c r="C932" s="12"/>
    </row>
    <row r="933" spans="1:3" x14ac:dyDescent="0.25">
      <c r="A933" s="14"/>
      <c r="C933" s="12"/>
    </row>
    <row r="934" spans="1:3" x14ac:dyDescent="0.25">
      <c r="A934" s="14"/>
      <c r="C934" s="12"/>
    </row>
    <row r="935" spans="1:3" x14ac:dyDescent="0.25">
      <c r="A935" s="14"/>
      <c r="C935" s="12"/>
    </row>
    <row r="936" spans="1:3" x14ac:dyDescent="0.25">
      <c r="A936" s="14"/>
      <c r="C936" s="12"/>
    </row>
    <row r="937" spans="1:3" x14ac:dyDescent="0.25">
      <c r="A937" s="14"/>
      <c r="C937" s="12"/>
    </row>
    <row r="938" spans="1:3" x14ac:dyDescent="0.25">
      <c r="A938" s="14"/>
      <c r="C938" s="12"/>
    </row>
    <row r="939" spans="1:3" x14ac:dyDescent="0.25">
      <c r="A939" s="14"/>
      <c r="C939" s="12"/>
    </row>
    <row r="940" spans="1:3" x14ac:dyDescent="0.25">
      <c r="A940" s="14"/>
      <c r="C940" s="12"/>
    </row>
    <row r="941" spans="1:3" x14ac:dyDescent="0.25">
      <c r="A941" s="14"/>
      <c r="C941" s="12"/>
    </row>
    <row r="942" spans="1:3" x14ac:dyDescent="0.25">
      <c r="A942" s="14"/>
      <c r="C942" s="12"/>
    </row>
    <row r="943" spans="1:3" x14ac:dyDescent="0.25">
      <c r="A943" s="14"/>
      <c r="C943" s="12"/>
    </row>
    <row r="944" spans="1:3" x14ac:dyDescent="0.25">
      <c r="A944" s="14"/>
      <c r="C944" s="12"/>
    </row>
    <row r="945" spans="1:3" x14ac:dyDescent="0.25">
      <c r="A945" s="14"/>
      <c r="C945" s="12"/>
    </row>
    <row r="946" spans="1:3" x14ac:dyDescent="0.25">
      <c r="A946" s="14"/>
      <c r="C946" s="12"/>
    </row>
    <row r="947" spans="1:3" x14ac:dyDescent="0.25">
      <c r="A947" s="14"/>
      <c r="C947" s="12"/>
    </row>
    <row r="948" spans="1:3" x14ac:dyDescent="0.25">
      <c r="A948" s="14"/>
      <c r="C948" s="12"/>
    </row>
    <row r="949" spans="1:3" x14ac:dyDescent="0.25">
      <c r="A949" s="14"/>
      <c r="C949" s="12"/>
    </row>
    <row r="950" spans="1:3" x14ac:dyDescent="0.25">
      <c r="A950" s="14"/>
      <c r="C950" s="12"/>
    </row>
    <row r="951" spans="1:3" x14ac:dyDescent="0.25">
      <c r="A951" s="14"/>
      <c r="C951" s="12"/>
    </row>
    <row r="952" spans="1:3" x14ac:dyDescent="0.25">
      <c r="A952" s="14"/>
      <c r="C952" s="12"/>
    </row>
    <row r="953" spans="1:3" x14ac:dyDescent="0.25">
      <c r="A953" s="14"/>
      <c r="C953" s="12"/>
    </row>
    <row r="954" spans="1:3" x14ac:dyDescent="0.25">
      <c r="A954" s="14"/>
      <c r="C954" s="12"/>
    </row>
    <row r="955" spans="1:3" x14ac:dyDescent="0.25">
      <c r="A955" s="14"/>
      <c r="C955" s="12"/>
    </row>
    <row r="956" spans="1:3" x14ac:dyDescent="0.25">
      <c r="A956" s="14"/>
      <c r="C956" s="12"/>
    </row>
    <row r="957" spans="1:3" x14ac:dyDescent="0.25">
      <c r="A957" s="14"/>
      <c r="C957" s="12"/>
    </row>
    <row r="958" spans="1:3" x14ac:dyDescent="0.25">
      <c r="A958" s="14"/>
      <c r="C958" s="12"/>
    </row>
    <row r="959" spans="1:3" x14ac:dyDescent="0.25">
      <c r="A959" s="14"/>
      <c r="C959" s="12"/>
    </row>
    <row r="960" spans="1:3" x14ac:dyDescent="0.25">
      <c r="A960" s="14"/>
      <c r="C960" s="12"/>
    </row>
    <row r="961" spans="1:3" x14ac:dyDescent="0.25">
      <c r="A961" s="14"/>
      <c r="C961" s="12"/>
    </row>
    <row r="962" spans="1:3" x14ac:dyDescent="0.25">
      <c r="A962" s="14"/>
      <c r="C962" s="12"/>
    </row>
    <row r="963" spans="1:3" x14ac:dyDescent="0.25">
      <c r="A963" s="14"/>
      <c r="C963" s="12"/>
    </row>
    <row r="964" spans="1:3" x14ac:dyDescent="0.25">
      <c r="A964" s="14"/>
      <c r="C964" s="12"/>
    </row>
    <row r="965" spans="1:3" x14ac:dyDescent="0.25">
      <c r="A965" s="14"/>
      <c r="C965" s="12"/>
    </row>
    <row r="966" spans="1:3" x14ac:dyDescent="0.25">
      <c r="A966" s="14"/>
      <c r="C966" s="12"/>
    </row>
    <row r="967" spans="1:3" x14ac:dyDescent="0.25">
      <c r="A967" s="14"/>
      <c r="C967" s="12"/>
    </row>
    <row r="968" spans="1:3" x14ac:dyDescent="0.25">
      <c r="A968" s="14"/>
      <c r="C968" s="12"/>
    </row>
    <row r="969" spans="1:3" x14ac:dyDescent="0.25">
      <c r="A969" s="14"/>
      <c r="C969" s="12"/>
    </row>
    <row r="970" spans="1:3" x14ac:dyDescent="0.25">
      <c r="A970" s="14"/>
      <c r="C970" s="12"/>
    </row>
    <row r="971" spans="1:3" x14ac:dyDescent="0.25">
      <c r="A971" s="14"/>
      <c r="C971" s="12"/>
    </row>
    <row r="972" spans="1:3" x14ac:dyDescent="0.25">
      <c r="A972" s="14"/>
      <c r="C972" s="12"/>
    </row>
    <row r="973" spans="1:3" x14ac:dyDescent="0.25">
      <c r="A973" s="14"/>
      <c r="C973" s="12"/>
    </row>
    <row r="974" spans="1:3" x14ac:dyDescent="0.25">
      <c r="A974" s="14"/>
      <c r="C974" s="12"/>
    </row>
    <row r="975" spans="1:3" x14ac:dyDescent="0.25">
      <c r="A975" s="14"/>
      <c r="C975" s="12"/>
    </row>
    <row r="976" spans="1:3" x14ac:dyDescent="0.25">
      <c r="A976" s="14"/>
      <c r="C976" s="12"/>
    </row>
    <row r="977" spans="1:3" x14ac:dyDescent="0.25">
      <c r="A977" s="14"/>
      <c r="C977" s="12"/>
    </row>
    <row r="978" spans="1:3" x14ac:dyDescent="0.25">
      <c r="A978" s="14"/>
      <c r="C978" s="12"/>
    </row>
    <row r="979" spans="1:3" x14ac:dyDescent="0.25">
      <c r="A979" s="14"/>
      <c r="C979" s="12"/>
    </row>
    <row r="980" spans="1:3" x14ac:dyDescent="0.25">
      <c r="A980" s="14"/>
      <c r="C980" s="12"/>
    </row>
    <row r="981" spans="1:3" x14ac:dyDescent="0.25">
      <c r="A981" s="14"/>
      <c r="C981" s="12"/>
    </row>
    <row r="982" spans="1:3" x14ac:dyDescent="0.25">
      <c r="A982" s="14"/>
      <c r="C982" s="12"/>
    </row>
    <row r="983" spans="1:3" x14ac:dyDescent="0.25">
      <c r="A983" s="14"/>
      <c r="C983" s="12"/>
    </row>
    <row r="984" spans="1:3" x14ac:dyDescent="0.25">
      <c r="A984" s="14"/>
      <c r="C984" s="12"/>
    </row>
    <row r="985" spans="1:3" x14ac:dyDescent="0.25">
      <c r="A985" s="14"/>
      <c r="C985" s="12"/>
    </row>
    <row r="986" spans="1:3" x14ac:dyDescent="0.25">
      <c r="A986" s="14"/>
      <c r="C986" s="12"/>
    </row>
    <row r="987" spans="1:3" x14ac:dyDescent="0.25">
      <c r="A987" s="14"/>
      <c r="C987" s="12"/>
    </row>
    <row r="988" spans="1:3" x14ac:dyDescent="0.25">
      <c r="A988" s="14"/>
      <c r="C988" s="12"/>
    </row>
    <row r="989" spans="1:3" x14ac:dyDescent="0.25">
      <c r="A989" s="14"/>
      <c r="C989" s="12"/>
    </row>
    <row r="990" spans="1:3" x14ac:dyDescent="0.25">
      <c r="A990" s="14"/>
      <c r="C990" s="12"/>
    </row>
    <row r="991" spans="1:3" x14ac:dyDescent="0.25">
      <c r="A991" s="14"/>
      <c r="C991" s="12"/>
    </row>
    <row r="992" spans="1:3" x14ac:dyDescent="0.25">
      <c r="A992" s="14"/>
      <c r="C992" s="12"/>
    </row>
    <row r="993" spans="1:3" x14ac:dyDescent="0.25">
      <c r="A993" s="14"/>
      <c r="C993" s="12"/>
    </row>
    <row r="994" spans="1:3" x14ac:dyDescent="0.25">
      <c r="A994" s="14"/>
      <c r="C994" s="12"/>
    </row>
    <row r="995" spans="1:3" x14ac:dyDescent="0.25">
      <c r="A995" s="14"/>
      <c r="C995" s="12"/>
    </row>
    <row r="996" spans="1:3" x14ac:dyDescent="0.25">
      <c r="A996" s="14"/>
      <c r="C996" s="12"/>
    </row>
    <row r="997" spans="1:3" x14ac:dyDescent="0.25">
      <c r="A997" s="14"/>
      <c r="C997" s="12"/>
    </row>
    <row r="998" spans="1:3" x14ac:dyDescent="0.25">
      <c r="A998" s="14"/>
      <c r="C998" s="12"/>
    </row>
    <row r="999" spans="1:3" x14ac:dyDescent="0.25">
      <c r="A999" s="14"/>
      <c r="C999" s="12"/>
    </row>
    <row r="1000" spans="1:3" x14ac:dyDescent="0.25">
      <c r="A1000" s="14"/>
      <c r="C1000" s="12"/>
    </row>
  </sheetData>
  <hyperlinks>
    <hyperlink ref="D2" r:id="rId1" xr:uid="{00000000-0004-0000-04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XmR chart</vt:lpstr>
      <vt:lpstr>3Sigma chart</vt:lpstr>
      <vt:lpstr>Method Comparison</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Jim Lehner</cp:lastModifiedBy>
  <dcterms:modified xsi:type="dcterms:W3CDTF">2025-12-18T14:38:42Z</dcterms:modified>
</cp:coreProperties>
</file>