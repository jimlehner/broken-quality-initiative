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mes\Downloads\"/>
    </mc:Choice>
  </mc:AlternateContent>
  <xr:revisionPtr revIDLastSave="0" documentId="13_ncr:1_{BBDA5DFC-EE15-46FA-9A51-6782393B233C}" xr6:coauthVersionLast="47" xr6:coauthVersionMax="47" xr10:uidLastSave="{00000000-0000-0000-0000-000000000000}"/>
  <bookViews>
    <workbookView xWindow="-108" yWindow="-108" windowWidth="23256" windowHeight="12456" xr2:uid="{00000000-000D-0000-FFFF-FFFF00000000}"/>
  </bookViews>
  <sheets>
    <sheet name="Overview" sheetId="1" r:id="rId1"/>
    <sheet name="Step 1" sheetId="2" r:id="rId2"/>
    <sheet name="Step 2" sheetId="3" r:id="rId3"/>
    <sheet name="Step 3" sheetId="4" r:id="rId4"/>
    <sheet name="Step 4" sheetId="5" r:id="rId5"/>
    <sheet name="Step 5" sheetId="6" r:id="rId6"/>
    <sheet name="Step 6" sheetId="7" r:id="rId7"/>
    <sheet name="RESULTS" sheetId="8" r:id="rId8"/>
    <sheet name="DATA"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4uGJ87suaHZgSMFiOPkjUk/atsit7sScJFEGx8SYSBk="/>
    </ext>
  </extLst>
</workbook>
</file>

<file path=xl/calcChain.xml><?xml version="1.0" encoding="utf-8"?>
<calcChain xmlns="http://schemas.openxmlformats.org/spreadsheetml/2006/main">
  <c r="A6" i="6" l="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5" i="6"/>
  <c r="A3" i="9" l="1"/>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A5" i="8"/>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C4" i="8"/>
  <c r="C5" i="8" s="1"/>
  <c r="C6" i="8" s="1"/>
  <c r="F63" i="7"/>
  <c r="C63" i="7"/>
  <c r="F62" i="7"/>
  <c r="C62" i="7"/>
  <c r="F61" i="7"/>
  <c r="C61" i="7"/>
  <c r="F60" i="7"/>
  <c r="C60" i="7"/>
  <c r="F59" i="7"/>
  <c r="C59" i="7"/>
  <c r="F58" i="7"/>
  <c r="C58" i="7"/>
  <c r="F57" i="7"/>
  <c r="C57" i="7"/>
  <c r="F56" i="7"/>
  <c r="C56" i="7"/>
  <c r="F55" i="7"/>
  <c r="C55" i="7"/>
  <c r="F54" i="7"/>
  <c r="C54" i="7"/>
  <c r="F53" i="7"/>
  <c r="C53" i="7"/>
  <c r="F52" i="7"/>
  <c r="C52" i="7"/>
  <c r="F51" i="7"/>
  <c r="C51" i="7"/>
  <c r="F50" i="7"/>
  <c r="C50" i="7"/>
  <c r="F49" i="7"/>
  <c r="C49" i="7"/>
  <c r="F48" i="7"/>
  <c r="C48" i="7"/>
  <c r="F47" i="7"/>
  <c r="C47" i="7"/>
  <c r="F46" i="7"/>
  <c r="C46" i="7"/>
  <c r="F45" i="7"/>
  <c r="C45" i="7"/>
  <c r="F44" i="7"/>
  <c r="C44" i="7"/>
  <c r="F43" i="7"/>
  <c r="C43" i="7"/>
  <c r="F42" i="7"/>
  <c r="C42" i="7"/>
  <c r="F41" i="7"/>
  <c r="C41" i="7"/>
  <c r="F40" i="7"/>
  <c r="C40" i="7"/>
  <c r="F39" i="7"/>
  <c r="C39" i="7"/>
  <c r="F38" i="7"/>
  <c r="C38" i="7"/>
  <c r="F37" i="7"/>
  <c r="C37" i="7"/>
  <c r="F36" i="7"/>
  <c r="C36" i="7"/>
  <c r="F35" i="7"/>
  <c r="C35" i="7"/>
  <c r="F34" i="7"/>
  <c r="C34" i="7"/>
  <c r="F33" i="7"/>
  <c r="C33" i="7"/>
  <c r="F32" i="7"/>
  <c r="C32" i="7"/>
  <c r="F31" i="7"/>
  <c r="C31" i="7"/>
  <c r="F30" i="7"/>
  <c r="C30" i="7"/>
  <c r="F29" i="7"/>
  <c r="C29" i="7"/>
  <c r="F28" i="7"/>
  <c r="C28" i="7"/>
  <c r="F27" i="7"/>
  <c r="C27" i="7"/>
  <c r="F26" i="7"/>
  <c r="C26" i="7"/>
  <c r="F25" i="7"/>
  <c r="C25" i="7"/>
  <c r="F24" i="7"/>
  <c r="C24" i="7"/>
  <c r="F23" i="7"/>
  <c r="C23" i="7"/>
  <c r="F22" i="7"/>
  <c r="C22" i="7"/>
  <c r="F21" i="7"/>
  <c r="C21" i="7"/>
  <c r="F20" i="7"/>
  <c r="C20" i="7"/>
  <c r="F19" i="7"/>
  <c r="C19" i="7"/>
  <c r="F18" i="7"/>
  <c r="C18" i="7"/>
  <c r="F17" i="7"/>
  <c r="C17" i="7"/>
  <c r="F16" i="7"/>
  <c r="C16" i="7"/>
  <c r="F15" i="7"/>
  <c r="C15" i="7"/>
  <c r="F14" i="7"/>
  <c r="C14" i="7"/>
  <c r="F13" i="7"/>
  <c r="C13" i="7"/>
  <c r="F12" i="7"/>
  <c r="C12" i="7"/>
  <c r="F11" i="7"/>
  <c r="C11" i="7"/>
  <c r="F10" i="7"/>
  <c r="C10" i="7"/>
  <c r="F9" i="7"/>
  <c r="C9" i="7"/>
  <c r="F8" i="7"/>
  <c r="C8" i="7"/>
  <c r="F7" i="7"/>
  <c r="C7" i="7"/>
  <c r="F6" i="7"/>
  <c r="C6" i="7"/>
  <c r="F5" i="7"/>
  <c r="C5" i="7"/>
  <c r="A5" i="7"/>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C4" i="7"/>
  <c r="F63" i="6"/>
  <c r="C63" i="6"/>
  <c r="F62" i="6"/>
  <c r="C62" i="6"/>
  <c r="F61" i="6"/>
  <c r="C61" i="6"/>
  <c r="F60" i="6"/>
  <c r="C60" i="6"/>
  <c r="F59" i="6"/>
  <c r="C59" i="6"/>
  <c r="F58" i="6"/>
  <c r="C58" i="6"/>
  <c r="F57" i="6"/>
  <c r="C57" i="6"/>
  <c r="F56" i="6"/>
  <c r="C56" i="6"/>
  <c r="F55" i="6"/>
  <c r="C55" i="6"/>
  <c r="F54" i="6"/>
  <c r="C54" i="6"/>
  <c r="F53" i="6"/>
  <c r="C53" i="6"/>
  <c r="F52" i="6"/>
  <c r="C52" i="6"/>
  <c r="F51" i="6"/>
  <c r="C51" i="6"/>
  <c r="F50" i="6"/>
  <c r="C50" i="6"/>
  <c r="F49" i="6"/>
  <c r="C49" i="6"/>
  <c r="F48" i="6"/>
  <c r="C48" i="6"/>
  <c r="F47" i="6"/>
  <c r="C47" i="6"/>
  <c r="F46" i="6"/>
  <c r="C46" i="6"/>
  <c r="F45" i="6"/>
  <c r="C45" i="6"/>
  <c r="F44" i="6"/>
  <c r="C44" i="6"/>
  <c r="F43" i="6"/>
  <c r="C43" i="6"/>
  <c r="F42" i="6"/>
  <c r="C42" i="6"/>
  <c r="F41" i="6"/>
  <c r="C41" i="6"/>
  <c r="F40" i="6"/>
  <c r="C40" i="6"/>
  <c r="F39" i="6"/>
  <c r="C39" i="6"/>
  <c r="F38" i="6"/>
  <c r="C38" i="6"/>
  <c r="F37" i="6"/>
  <c r="C37" i="6"/>
  <c r="F36" i="6"/>
  <c r="C36" i="6"/>
  <c r="F35" i="6"/>
  <c r="C35" i="6"/>
  <c r="F34" i="6"/>
  <c r="C34" i="6"/>
  <c r="F33" i="6"/>
  <c r="C33" i="6"/>
  <c r="F32" i="6"/>
  <c r="C32" i="6"/>
  <c r="F31" i="6"/>
  <c r="C31" i="6"/>
  <c r="F30" i="6"/>
  <c r="C30" i="6"/>
  <c r="F29" i="6"/>
  <c r="C29" i="6"/>
  <c r="F28" i="6"/>
  <c r="C28" i="6"/>
  <c r="F27" i="6"/>
  <c r="C27" i="6"/>
  <c r="F26" i="6"/>
  <c r="C26" i="6"/>
  <c r="F25" i="6"/>
  <c r="C25" i="6"/>
  <c r="F24" i="6"/>
  <c r="C24" i="6"/>
  <c r="F23" i="6"/>
  <c r="C23" i="6"/>
  <c r="F22" i="6"/>
  <c r="C22" i="6"/>
  <c r="F21" i="6"/>
  <c r="C21" i="6"/>
  <c r="F20" i="6"/>
  <c r="C20" i="6"/>
  <c r="F19" i="6"/>
  <c r="C19" i="6"/>
  <c r="F18" i="6"/>
  <c r="C18" i="6"/>
  <c r="F17" i="6"/>
  <c r="C17" i="6"/>
  <c r="F16" i="6"/>
  <c r="C16" i="6"/>
  <c r="F15" i="6"/>
  <c r="C15" i="6"/>
  <c r="F14" i="6"/>
  <c r="C14" i="6"/>
  <c r="F13" i="6"/>
  <c r="C13" i="6"/>
  <c r="F12" i="6"/>
  <c r="C12" i="6"/>
  <c r="F11" i="6"/>
  <c r="C11" i="6"/>
  <c r="F10" i="6"/>
  <c r="C10" i="6"/>
  <c r="F9" i="6"/>
  <c r="C9" i="6"/>
  <c r="F8" i="6"/>
  <c r="C8" i="6"/>
  <c r="F7" i="6"/>
  <c r="C7" i="6"/>
  <c r="F6" i="6"/>
  <c r="G4" i="6" s="1"/>
  <c r="G5" i="6" s="1"/>
  <c r="G6" i="6" s="1"/>
  <c r="G7" i="6" s="1"/>
  <c r="G8" i="6" s="1"/>
  <c r="G9" i="6" s="1"/>
  <c r="G10" i="6" s="1"/>
  <c r="G11" i="6" s="1"/>
  <c r="G12" i="6" s="1"/>
  <c r="G13" i="6" s="1"/>
  <c r="G14" i="6" s="1"/>
  <c r="G15" i="6" s="1"/>
  <c r="G16" i="6" s="1"/>
  <c r="G17" i="6" s="1"/>
  <c r="G18" i="6" s="1"/>
  <c r="G19" i="6" s="1"/>
  <c r="G20" i="6" s="1"/>
  <c r="G21" i="6" s="1"/>
  <c r="G22" i="6" s="1"/>
  <c r="G23" i="6" s="1"/>
  <c r="G24" i="6" s="1"/>
  <c r="G25" i="6" s="1"/>
  <c r="G26" i="6" s="1"/>
  <c r="G27" i="6" s="1"/>
  <c r="G28" i="6" s="1"/>
  <c r="G29" i="6" s="1"/>
  <c r="G30" i="6" s="1"/>
  <c r="G31" i="6" s="1"/>
  <c r="G32" i="6" s="1"/>
  <c r="G33" i="6" s="1"/>
  <c r="G34" i="6" s="1"/>
  <c r="G35" i="6" s="1"/>
  <c r="G36" i="6" s="1"/>
  <c r="G37" i="6" s="1"/>
  <c r="G38" i="6" s="1"/>
  <c r="G39" i="6" s="1"/>
  <c r="G40" i="6" s="1"/>
  <c r="G41" i="6" s="1"/>
  <c r="G42" i="6" s="1"/>
  <c r="G43" i="6" s="1"/>
  <c r="G44" i="6" s="1"/>
  <c r="G45" i="6" s="1"/>
  <c r="G46" i="6" s="1"/>
  <c r="G47" i="6" s="1"/>
  <c r="G48" i="6" s="1"/>
  <c r="G49" i="6" s="1"/>
  <c r="G50" i="6" s="1"/>
  <c r="G51" i="6" s="1"/>
  <c r="G52" i="6" s="1"/>
  <c r="G53" i="6" s="1"/>
  <c r="G54" i="6" s="1"/>
  <c r="G55" i="6" s="1"/>
  <c r="G56" i="6" s="1"/>
  <c r="G57" i="6" s="1"/>
  <c r="G58" i="6" s="1"/>
  <c r="G59" i="6" s="1"/>
  <c r="G60" i="6" s="1"/>
  <c r="G61" i="6" s="1"/>
  <c r="G62" i="6" s="1"/>
  <c r="G63" i="6" s="1"/>
  <c r="C6" i="6"/>
  <c r="F5" i="6"/>
  <c r="C5" i="6"/>
  <c r="C4" i="6"/>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G4" i="5" s="1"/>
  <c r="G5" i="5" s="1"/>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G30" i="5" s="1"/>
  <c r="G31" i="5" s="1"/>
  <c r="G32" i="5" s="1"/>
  <c r="G33" i="5" s="1"/>
  <c r="G34" i="5" s="1"/>
  <c r="G35" i="5" s="1"/>
  <c r="G36" i="5" s="1"/>
  <c r="G37" i="5" s="1"/>
  <c r="G38" i="5" s="1"/>
  <c r="G39" i="5" s="1"/>
  <c r="G40" i="5" s="1"/>
  <c r="G41" i="5" s="1"/>
  <c r="G42" i="5" s="1"/>
  <c r="G43" i="5" s="1"/>
  <c r="G44" i="5" s="1"/>
  <c r="G45" i="5" s="1"/>
  <c r="G46" i="5" s="1"/>
  <c r="G47" i="5" s="1"/>
  <c r="G48" i="5" s="1"/>
  <c r="G49" i="5" s="1"/>
  <c r="G50" i="5" s="1"/>
  <c r="G51" i="5" s="1"/>
  <c r="G52" i="5" s="1"/>
  <c r="G53" i="5" s="1"/>
  <c r="G54" i="5" s="1"/>
  <c r="G55" i="5" s="1"/>
  <c r="G56" i="5" s="1"/>
  <c r="G57" i="5" s="1"/>
  <c r="G58" i="5" s="1"/>
  <c r="G59" i="5" s="1"/>
  <c r="G60" i="5" s="1"/>
  <c r="G61" i="5" s="1"/>
  <c r="G62" i="5" s="1"/>
  <c r="G63" i="5" s="1"/>
  <c r="F6" i="5"/>
  <c r="F5" i="5"/>
  <c r="A5" i="5"/>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A6" i="4"/>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F5" i="4"/>
  <c r="A5" i="4"/>
  <c r="A5" i="3"/>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G4" i="7" l="1"/>
  <c r="G5" i="7" s="1"/>
  <c r="C7" i="8"/>
  <c r="G4" i="8"/>
  <c r="E5" i="7" l="1"/>
  <c r="D5" i="7"/>
  <c r="D4" i="7"/>
  <c r="H4" i="7"/>
  <c r="E4" i="7"/>
  <c r="H4" i="8"/>
  <c r="P15" i="8" s="1"/>
  <c r="G5" i="8"/>
  <c r="E4" i="8"/>
  <c r="N15" i="8" s="1"/>
  <c r="D4" i="8"/>
  <c r="L15" i="8" s="1"/>
  <c r="C8" i="8"/>
  <c r="G6" i="7"/>
  <c r="H5" i="7"/>
  <c r="H6" i="7" l="1"/>
  <c r="G7" i="7"/>
  <c r="E6" i="7"/>
  <c r="D6" i="7"/>
  <c r="C9" i="8"/>
  <c r="H5" i="8"/>
  <c r="G6" i="8"/>
  <c r="E5" i="8"/>
  <c r="D5" i="8"/>
  <c r="H7" i="7" l="1"/>
  <c r="G8" i="7"/>
  <c r="E7" i="7"/>
  <c r="D7" i="7"/>
  <c r="C10" i="8"/>
  <c r="G7" i="8"/>
  <c r="H6" i="8"/>
  <c r="E6" i="8"/>
  <c r="D6" i="8"/>
  <c r="G8" i="8" l="1"/>
  <c r="H7" i="8"/>
  <c r="D7" i="8"/>
  <c r="E7" i="8"/>
  <c r="C11" i="8"/>
  <c r="H8" i="7"/>
  <c r="G9" i="7"/>
  <c r="E8" i="7"/>
  <c r="D8" i="7"/>
  <c r="C12" i="8" l="1"/>
  <c r="G10" i="7"/>
  <c r="H9" i="7"/>
  <c r="D9" i="7"/>
  <c r="E9" i="7"/>
  <c r="H8" i="8"/>
  <c r="G9" i="8"/>
  <c r="E8" i="8"/>
  <c r="D8" i="8"/>
  <c r="D10" i="7" l="1"/>
  <c r="H10" i="7"/>
  <c r="E10" i="7"/>
  <c r="G11" i="7"/>
  <c r="G10" i="8"/>
  <c r="H9" i="8"/>
  <c r="E9" i="8"/>
  <c r="D9" i="8"/>
  <c r="C13" i="8"/>
  <c r="H11" i="7" l="1"/>
  <c r="G12" i="7"/>
  <c r="D11" i="7"/>
  <c r="E11" i="7"/>
  <c r="G11" i="8"/>
  <c r="H10" i="8"/>
  <c r="D10" i="8"/>
  <c r="E10" i="8"/>
  <c r="C14" i="8"/>
  <c r="H11" i="8" l="1"/>
  <c r="G12" i="8"/>
  <c r="E11" i="8"/>
  <c r="D11" i="8"/>
  <c r="C15" i="8"/>
  <c r="H12" i="7"/>
  <c r="E12" i="7"/>
  <c r="G13" i="7"/>
  <c r="D12" i="7"/>
  <c r="C16" i="8" l="1"/>
  <c r="H13" i="7"/>
  <c r="D13" i="7"/>
  <c r="G14" i="7"/>
  <c r="E13" i="7"/>
  <c r="G13" i="8"/>
  <c r="H12" i="8"/>
  <c r="E12" i="8"/>
  <c r="D12" i="8"/>
  <c r="G15" i="7" l="1"/>
  <c r="E14" i="7"/>
  <c r="D14" i="7"/>
  <c r="H14" i="7"/>
  <c r="G14" i="8"/>
  <c r="H13" i="8"/>
  <c r="E13" i="8"/>
  <c r="D13" i="8"/>
  <c r="C17" i="8"/>
  <c r="H14" i="8" l="1"/>
  <c r="G15" i="8"/>
  <c r="E14" i="8"/>
  <c r="D14" i="8"/>
  <c r="C18" i="8"/>
  <c r="H15" i="7"/>
  <c r="G16" i="7"/>
  <c r="D15" i="7"/>
  <c r="E15" i="7"/>
  <c r="C19" i="8" l="1"/>
  <c r="H15" i="8"/>
  <c r="G16" i="8"/>
  <c r="D15" i="8"/>
  <c r="E15" i="8"/>
  <c r="H16" i="7"/>
  <c r="G17" i="7"/>
  <c r="D16" i="7"/>
  <c r="E16" i="7"/>
  <c r="H16" i="8" l="1"/>
  <c r="G17" i="8"/>
  <c r="E16" i="8"/>
  <c r="D16" i="8"/>
  <c r="C20" i="8"/>
  <c r="G18" i="7"/>
  <c r="D17" i="7"/>
  <c r="H17" i="7"/>
  <c r="E17" i="7"/>
  <c r="G19" i="7" l="1"/>
  <c r="H18" i="7"/>
  <c r="E18" i="7"/>
  <c r="D18" i="7"/>
  <c r="G18" i="8"/>
  <c r="H17" i="8"/>
  <c r="E17" i="8"/>
  <c r="D17" i="8"/>
  <c r="C21" i="8"/>
  <c r="G19" i="8" l="1"/>
  <c r="H18" i="8"/>
  <c r="D18" i="8"/>
  <c r="E18" i="8"/>
  <c r="C22" i="8"/>
  <c r="H19" i="7"/>
  <c r="E19" i="7"/>
  <c r="G20" i="7"/>
  <c r="D19" i="7"/>
  <c r="C23" i="8" l="1"/>
  <c r="H20" i="7"/>
  <c r="G21" i="7"/>
  <c r="D20" i="7"/>
  <c r="E20" i="7"/>
  <c r="H19" i="8"/>
  <c r="G20" i="8"/>
  <c r="D19" i="8"/>
  <c r="E19" i="8"/>
  <c r="G22" i="7" l="1"/>
  <c r="H21" i="7"/>
  <c r="E21" i="7"/>
  <c r="D21" i="7"/>
  <c r="G21" i="8"/>
  <c r="H20" i="8"/>
  <c r="E20" i="8"/>
  <c r="D20" i="8"/>
  <c r="C24" i="8"/>
  <c r="C25" i="8" l="1"/>
  <c r="G22" i="8"/>
  <c r="H21" i="8"/>
  <c r="E21" i="8"/>
  <c r="D21" i="8"/>
  <c r="G23" i="7"/>
  <c r="E22" i="7"/>
  <c r="D22" i="7"/>
  <c r="H22" i="7"/>
  <c r="H23" i="7" l="1"/>
  <c r="G24" i="7"/>
  <c r="E23" i="7"/>
  <c r="D23" i="7"/>
  <c r="H22" i="8"/>
  <c r="G23" i="8"/>
  <c r="E22" i="8"/>
  <c r="D22" i="8"/>
  <c r="C26" i="8"/>
  <c r="H23" i="8" l="1"/>
  <c r="G24" i="8"/>
  <c r="D23" i="8"/>
  <c r="E23" i="8"/>
  <c r="G25" i="7"/>
  <c r="H24" i="7"/>
  <c r="D24" i="7"/>
  <c r="E24" i="7"/>
  <c r="C27" i="8"/>
  <c r="G26" i="7" l="1"/>
  <c r="H25" i="7"/>
  <c r="D25" i="7"/>
  <c r="E25" i="7"/>
  <c r="C28" i="8"/>
  <c r="H24" i="8"/>
  <c r="G25" i="8"/>
  <c r="D24" i="8"/>
  <c r="E24" i="8"/>
  <c r="C29" i="8" l="1"/>
  <c r="G26" i="8"/>
  <c r="H25" i="8"/>
  <c r="D25" i="8"/>
  <c r="E25" i="8"/>
  <c r="H26" i="7"/>
  <c r="G27" i="7"/>
  <c r="D26" i="7"/>
  <c r="E26" i="7"/>
  <c r="G27" i="8" l="1"/>
  <c r="H26" i="8"/>
  <c r="D26" i="8"/>
  <c r="E26" i="8"/>
  <c r="C30" i="8"/>
  <c r="H27" i="7"/>
  <c r="E27" i="7"/>
  <c r="D27" i="7"/>
  <c r="G28" i="7"/>
  <c r="C31" i="8" l="1"/>
  <c r="H28" i="7"/>
  <c r="G29" i="7"/>
  <c r="E28" i="7"/>
  <c r="D28" i="7"/>
  <c r="H27" i="8"/>
  <c r="G28" i="8"/>
  <c r="E27" i="8"/>
  <c r="D27" i="8"/>
  <c r="H29" i="7" l="1"/>
  <c r="D29" i="7"/>
  <c r="G30" i="7"/>
  <c r="E29" i="7"/>
  <c r="G29" i="8"/>
  <c r="H28" i="8"/>
  <c r="E28" i="8"/>
  <c r="D28" i="8"/>
  <c r="C32" i="8"/>
  <c r="G30" i="8" l="1"/>
  <c r="H29" i="8"/>
  <c r="D29" i="8"/>
  <c r="E29" i="8"/>
  <c r="D30" i="7"/>
  <c r="G31" i="7"/>
  <c r="E30" i="7"/>
  <c r="H30" i="7"/>
  <c r="C33" i="8"/>
  <c r="G32" i="7" l="1"/>
  <c r="H31" i="7"/>
  <c r="D31" i="7"/>
  <c r="E31" i="7"/>
  <c r="C34" i="8"/>
  <c r="H30" i="8"/>
  <c r="G31" i="8"/>
  <c r="E30" i="8"/>
  <c r="D30" i="8"/>
  <c r="C35" i="8" l="1"/>
  <c r="H31" i="8"/>
  <c r="G32" i="8"/>
  <c r="D31" i="8"/>
  <c r="E31" i="8"/>
  <c r="G33" i="7"/>
  <c r="H32" i="7"/>
  <c r="D32" i="7"/>
  <c r="E32" i="7"/>
  <c r="H32" i="8" l="1"/>
  <c r="G33" i="8"/>
  <c r="E32" i="8"/>
  <c r="D32" i="8"/>
  <c r="C36" i="8"/>
  <c r="G34" i="7"/>
  <c r="H33" i="7"/>
  <c r="E33" i="7"/>
  <c r="D33" i="7"/>
  <c r="H34" i="7" l="1"/>
  <c r="G35" i="7"/>
  <c r="D34" i="7"/>
  <c r="E34" i="7"/>
  <c r="C37" i="8"/>
  <c r="G34" i="8"/>
  <c r="H33" i="8"/>
  <c r="D33" i="8"/>
  <c r="E33" i="8"/>
  <c r="G35" i="8" l="1"/>
  <c r="H34" i="8"/>
  <c r="D34" i="8"/>
  <c r="E34" i="8"/>
  <c r="C38" i="8"/>
  <c r="H35" i="7"/>
  <c r="D35" i="7"/>
  <c r="G36" i="7"/>
  <c r="E35" i="7"/>
  <c r="C39" i="8" l="1"/>
  <c r="H36" i="7"/>
  <c r="G37" i="7"/>
  <c r="E36" i="7"/>
  <c r="D36" i="7"/>
  <c r="H35" i="8"/>
  <c r="G36" i="8"/>
  <c r="E35" i="8"/>
  <c r="D35" i="8"/>
  <c r="G38" i="7" l="1"/>
  <c r="D37" i="7"/>
  <c r="H37" i="7"/>
  <c r="E37" i="7"/>
  <c r="G37" i="8"/>
  <c r="H36" i="8"/>
  <c r="D36" i="8"/>
  <c r="E36" i="8"/>
  <c r="C40" i="8"/>
  <c r="G38" i="8" l="1"/>
  <c r="H37" i="8"/>
  <c r="E37" i="8"/>
  <c r="D37" i="8"/>
  <c r="C41" i="8"/>
  <c r="D38" i="7"/>
  <c r="G39" i="7"/>
  <c r="E38" i="7"/>
  <c r="H38" i="7"/>
  <c r="C42" i="8" l="1"/>
  <c r="H39" i="7"/>
  <c r="G40" i="7"/>
  <c r="D39" i="7"/>
  <c r="E39" i="7"/>
  <c r="H38" i="8"/>
  <c r="G39" i="8"/>
  <c r="D38" i="8"/>
  <c r="E38" i="8"/>
  <c r="G41" i="7" l="1"/>
  <c r="H40" i="7"/>
  <c r="D40" i="7"/>
  <c r="E40" i="7"/>
  <c r="H39" i="8"/>
  <c r="G40" i="8"/>
  <c r="D39" i="8"/>
  <c r="E39" i="8"/>
  <c r="C43" i="8"/>
  <c r="C44" i="8" l="1"/>
  <c r="H40" i="8"/>
  <c r="G41" i="8"/>
  <c r="D40" i="8"/>
  <c r="E40" i="8"/>
  <c r="G42" i="7"/>
  <c r="H41" i="7"/>
  <c r="E41" i="7"/>
  <c r="D41" i="7"/>
  <c r="C45" i="8" l="1"/>
  <c r="H42" i="7"/>
  <c r="G43" i="7"/>
  <c r="E42" i="7"/>
  <c r="D42" i="7"/>
  <c r="G42" i="8"/>
  <c r="H41" i="8"/>
  <c r="E41" i="8"/>
  <c r="D41" i="8"/>
  <c r="H43" i="7" l="1"/>
  <c r="D43" i="7"/>
  <c r="E43" i="7"/>
  <c r="G44" i="7"/>
  <c r="G43" i="8"/>
  <c r="H42" i="8"/>
  <c r="D42" i="8"/>
  <c r="E42" i="8"/>
  <c r="C46" i="8"/>
  <c r="H43" i="8" l="1"/>
  <c r="G44" i="8"/>
  <c r="E43" i="8"/>
  <c r="D43" i="8"/>
  <c r="H44" i="7"/>
  <c r="G45" i="7"/>
  <c r="E44" i="7"/>
  <c r="D44" i="7"/>
  <c r="C47" i="8"/>
  <c r="C48" i="8" l="1"/>
  <c r="G46" i="7"/>
  <c r="D45" i="7"/>
  <c r="H45" i="7"/>
  <c r="E45" i="7"/>
  <c r="G45" i="8"/>
  <c r="H44" i="8"/>
  <c r="E44" i="8"/>
  <c r="D44" i="8"/>
  <c r="G46" i="8" l="1"/>
  <c r="H45" i="8"/>
  <c r="D45" i="8"/>
  <c r="E45" i="8"/>
  <c r="D46" i="7"/>
  <c r="G47" i="7"/>
  <c r="E46" i="7"/>
  <c r="H46" i="7"/>
  <c r="C49" i="8"/>
  <c r="H47" i="7" l="1"/>
  <c r="G48" i="7"/>
  <c r="D47" i="7"/>
  <c r="E47" i="7"/>
  <c r="C50" i="8"/>
  <c r="H46" i="8"/>
  <c r="G47" i="8"/>
  <c r="E46" i="8"/>
  <c r="D46" i="8"/>
  <c r="G49" i="7" l="1"/>
  <c r="H48" i="7"/>
  <c r="E48" i="7"/>
  <c r="D48" i="7"/>
  <c r="C51" i="8"/>
  <c r="H47" i="8"/>
  <c r="G48" i="8"/>
  <c r="E47" i="8"/>
  <c r="D47" i="8"/>
  <c r="C52" i="8" l="1"/>
  <c r="H48" i="8"/>
  <c r="G49" i="8"/>
  <c r="E48" i="8"/>
  <c r="D48" i="8"/>
  <c r="G50" i="7"/>
  <c r="H49" i="7"/>
  <c r="D49" i="7"/>
  <c r="E49" i="7"/>
  <c r="G50" i="8" l="1"/>
  <c r="H49" i="8"/>
  <c r="E49" i="8"/>
  <c r="D49" i="8"/>
  <c r="C53" i="8"/>
  <c r="H50" i="7"/>
  <c r="G51" i="7"/>
  <c r="E50" i="7"/>
  <c r="D50" i="7"/>
  <c r="C54" i="8" l="1"/>
  <c r="H51" i="7"/>
  <c r="D51" i="7"/>
  <c r="E51" i="7"/>
  <c r="G52" i="7"/>
  <c r="G51" i="8"/>
  <c r="H50" i="8"/>
  <c r="D50" i="8"/>
  <c r="E50" i="8"/>
  <c r="H51" i="8" l="1"/>
  <c r="G52" i="8"/>
  <c r="E51" i="8"/>
  <c r="D51" i="8"/>
  <c r="H52" i="7"/>
  <c r="G53" i="7"/>
  <c r="E52" i="7"/>
  <c r="D52" i="7"/>
  <c r="C55" i="8"/>
  <c r="G54" i="7" l="1"/>
  <c r="D53" i="7"/>
  <c r="H53" i="7"/>
  <c r="E53" i="7"/>
  <c r="G53" i="8"/>
  <c r="H52" i="8"/>
  <c r="E52" i="8"/>
  <c r="D52" i="8"/>
  <c r="C56" i="8"/>
  <c r="G54" i="8" l="1"/>
  <c r="H53" i="8"/>
  <c r="E53" i="8"/>
  <c r="D53" i="8"/>
  <c r="C57" i="8"/>
  <c r="G55" i="7"/>
  <c r="E54" i="7"/>
  <c r="H54" i="7"/>
  <c r="D54" i="7"/>
  <c r="H55" i="7" l="1"/>
  <c r="G56" i="7"/>
  <c r="E55" i="7"/>
  <c r="D55" i="7"/>
  <c r="C58" i="8"/>
  <c r="H54" i="8"/>
  <c r="G55" i="8"/>
  <c r="E54" i="8"/>
  <c r="D54" i="8"/>
  <c r="C59" i="8" l="1"/>
  <c r="G57" i="7"/>
  <c r="H56" i="7"/>
  <c r="D56" i="7"/>
  <c r="E56" i="7"/>
  <c r="H55" i="8"/>
  <c r="G56" i="8"/>
  <c r="D55" i="8"/>
  <c r="E55" i="8"/>
  <c r="G58" i="7" l="1"/>
  <c r="H57" i="7"/>
  <c r="E57" i="7"/>
  <c r="D57" i="7"/>
  <c r="C60" i="8"/>
  <c r="H56" i="8"/>
  <c r="G57" i="8"/>
  <c r="D56" i="8"/>
  <c r="E56" i="8"/>
  <c r="C61" i="8" l="1"/>
  <c r="G58" i="8"/>
  <c r="H57" i="8"/>
  <c r="E57" i="8"/>
  <c r="D57" i="8"/>
  <c r="H58" i="7"/>
  <c r="G59" i="7"/>
  <c r="E58" i="7"/>
  <c r="D58" i="7"/>
  <c r="G59" i="8" l="1"/>
  <c r="H58" i="8"/>
  <c r="D58" i="8"/>
  <c r="E58" i="8"/>
  <c r="C62" i="8"/>
  <c r="H59" i="7"/>
  <c r="D59" i="7"/>
  <c r="G60" i="7"/>
  <c r="E59" i="7"/>
  <c r="C63" i="8" l="1"/>
  <c r="H60" i="7"/>
  <c r="G61" i="7"/>
  <c r="E60" i="7"/>
  <c r="D60" i="7"/>
  <c r="H59" i="8"/>
  <c r="G60" i="8"/>
  <c r="D59" i="8"/>
  <c r="E59" i="8"/>
  <c r="G62" i="7" l="1"/>
  <c r="D61" i="7"/>
  <c r="H61" i="7"/>
  <c r="E61" i="7"/>
  <c r="G61" i="8"/>
  <c r="H60" i="8"/>
  <c r="E60" i="8"/>
  <c r="D60" i="8"/>
  <c r="G62" i="8" l="1"/>
  <c r="H61" i="8"/>
  <c r="D61" i="8"/>
  <c r="E61" i="8"/>
  <c r="G63" i="7"/>
  <c r="E62" i="7"/>
  <c r="H62" i="7"/>
  <c r="D62" i="7"/>
  <c r="H63" i="7" l="1"/>
  <c r="D63" i="7"/>
  <c r="E63" i="7"/>
  <c r="H62" i="8"/>
  <c r="G63" i="8"/>
  <c r="E62" i="8"/>
  <c r="D62" i="8"/>
  <c r="H63" i="8" l="1"/>
  <c r="E63" i="8"/>
  <c r="D63" i="8"/>
</calcChain>
</file>

<file path=xl/sharedStrings.xml><?xml version="1.0" encoding="utf-8"?>
<sst xmlns="http://schemas.openxmlformats.org/spreadsheetml/2006/main" count="95" uniqueCount="34">
  <si>
    <t>BrokenQuality.com</t>
  </si>
  <si>
    <t>Step 1. Gather the data</t>
  </si>
  <si>
    <t>Green fields are inputs</t>
  </si>
  <si>
    <t>Instructions</t>
  </si>
  <si>
    <t>Sample</t>
  </si>
  <si>
    <t>Value</t>
  </si>
  <si>
    <t>Mean</t>
  </si>
  <si>
    <t>UPL</t>
  </si>
  <si>
    <t>LPL</t>
  </si>
  <si>
    <t>mR</t>
  </si>
  <si>
    <t>Ave. mR</t>
  </si>
  <si>
    <t>URL</t>
  </si>
  <si>
    <t>Step 2. Calculate the moving range</t>
  </si>
  <si>
    <t>Step 3. Calculate the average moving range</t>
  </si>
  <si>
    <t>Step 4. Calculate the mean</t>
  </si>
  <si>
    <t>Step 5. Calculate the process limits</t>
  </si>
  <si>
    <t>Step 6. Put it all together</t>
  </si>
  <si>
    <t>Individual values plot (X Chart)</t>
  </si>
  <si>
    <t>Moving range plot (mR Chart)</t>
  </si>
  <si>
    <t>RESULTS</t>
  </si>
  <si>
    <t>Count &gt; UPL</t>
  </si>
  <si>
    <t>Count = LPL</t>
  </si>
  <si>
    <t>Count &gt; URL</t>
  </si>
  <si>
    <t>Ave. mR2</t>
  </si>
  <si>
    <r>
      <t xml:space="preserve">This file provides step-by-step instructions for how to build an XmR chart. The XmR chart should be your go to tool when data is the by-product of operations, processes, or systems and your aim is to reduce costs and improve quality.
This file can be used in conjuction with the instructions found at:
BrokenQuality.com/how-to-build-an-xmr-chart
The 6 steps for constructing an XmR chart are:
1. Gather the data
2. Calculate the moving range (mR)
3. Calculate the average moving range
4. Calculate the mean
5. Calculate the (natural) process limits
6. Put it all together
Each of these steps corresponds to a tab in this workbook. If you get stuck, the subsequent tab for each step can be used as reference for the prior step. That is to say, the answers to step 1 are shown in step 2.
This workbook also includes a RESULTS tab. This tab can be used as an additional reference as you build the XmR chart. 
If you have question or feedback email us at:
</t>
    </r>
    <r>
      <rPr>
        <b/>
        <sz val="11"/>
        <color rgb="FFC00000"/>
        <rFont val="Montserrat"/>
      </rPr>
      <t>James.Lehner@gmail.com</t>
    </r>
    <r>
      <rPr>
        <sz val="11"/>
        <color rgb="FF000000"/>
        <rFont val="Montserrat"/>
      </rPr>
      <t xml:space="preserve"> or</t>
    </r>
    <r>
      <rPr>
        <sz val="11"/>
        <color rgb="FFFF0000"/>
        <rFont val="Montserrat"/>
      </rPr>
      <t xml:space="preserve"> </t>
    </r>
    <r>
      <rPr>
        <b/>
        <sz val="11"/>
        <color rgb="FFC00000"/>
        <rFont val="Montserrat"/>
      </rPr>
      <t>QualityIsBroken@gmail.com</t>
    </r>
  </si>
  <si>
    <t>The manufacturing data that will be used in this workbook can be found in the DATA tab.
In the DATA tab, copy cells A2 through B61. With these cells copied navigate back to the Step 1 tab and select cell A4.
Paste the copied data in cells A4 through B63. This can be done via keyboard shortcut CTRL + SHIFT + V.
Note the structure and organization of the table in Step 1. By organizaing the columns of the table in this way (Sample, Value, MEAN, UPL, LPL, mR, Ave. mR, and URL) constructing the XmR chart in Step 6 will be simplified.</t>
  </si>
  <si>
    <r>
      <t xml:space="preserve">Calculate the moving range (mR) in cells F5 through F63. Due to the nature of this calculation there is 
no moving range for cell F4. 
The moving range is the absolute value of the difference between subsequent values in the dataset. This logic is expressed by entering the formula </t>
    </r>
    <r>
      <rPr>
        <b/>
        <sz val="12"/>
        <color theme="1"/>
        <rFont val="Montserrat"/>
      </rPr>
      <t xml:space="preserve">=abs(B4 - B5) </t>
    </r>
    <r>
      <rPr>
        <sz val="12"/>
        <color theme="1"/>
        <rFont val="Montserrat"/>
      </rPr>
      <t>in cell F5. This formula subtracts the second value in the value column (0.82) from the first value (0). While this subtraction yields -0.82, we are only concerned with the magnitude of the difference. Thus, in taking the absolute value of -0.82 the value for F5 should be 0.82.
Assuming cell F5 shows a value of 0.82, copy the forumla for cell F5 into cells F6 through F63. You can do this by:
1) double clicking the cell F5 fill hand
2) clicking and dragging the cell F5 fill handle
 3) copying and pasting the formula in cell F5 to cells F6 through F63.
If after copying the formula to cells F6:F63 one or more of the moving ranges are negative you did not take the absolute value of the difference.</t>
    </r>
  </si>
  <si>
    <r>
      <t xml:space="preserve">Using the AVERAGE function, calculate the average moving range (Ave. mR) in cell G4. The average moving range is the average of the moving ranges in cells F5 to F63. This is achieved by entering the formula </t>
    </r>
    <r>
      <rPr>
        <b/>
        <sz val="12"/>
        <color theme="1"/>
        <rFont val="Montserrat"/>
      </rPr>
      <t>=average(F5:F63)</t>
    </r>
    <r>
      <rPr>
        <sz val="12"/>
        <color theme="1"/>
        <rFont val="Montserrat"/>
      </rPr>
      <t xml:space="preserve"> in cell G4.
After entering the formula for the average moving range in cell G4, use the absolute cell reference ($) by pressing the F4 button on your keyboard to ensure the average moving range does not change when the formula is copied to cells G5 through G63. If done correctly, the forumla in cell G4 should now read 
</t>
    </r>
    <r>
      <rPr>
        <b/>
        <sz val="12"/>
        <color theme="1"/>
        <rFont val="Montserrat"/>
      </rPr>
      <t>=average($F$5:$F$63)</t>
    </r>
    <r>
      <rPr>
        <sz val="12"/>
        <color theme="1"/>
        <rFont val="Montserrat"/>
      </rPr>
      <t xml:space="preserve">
Alternatively, if you do not want to use the aboluste cell reference, you can enter the formula </t>
    </r>
    <r>
      <rPr>
        <b/>
        <sz val="12"/>
        <color theme="1"/>
        <rFont val="Montserrat"/>
      </rPr>
      <t>=G4</t>
    </r>
    <r>
      <rPr>
        <sz val="12"/>
        <color theme="1"/>
        <rFont val="Montserrat"/>
      </rPr>
      <t xml:space="preserve"> in cell G5. When using this method, you will copy the formula from cell G5 to cells G6 through G63.</t>
    </r>
  </si>
  <si>
    <r>
      <t xml:space="preserve">Using the AVERAGE function, calculate the mean of the values in cells B4 through B63 in cell C4. 
This is achieved by entering the formula </t>
    </r>
    <r>
      <rPr>
        <b/>
        <sz val="12"/>
        <color theme="1"/>
        <rFont val="Montserrat"/>
      </rPr>
      <t>=average(B4:B63)</t>
    </r>
    <r>
      <rPr>
        <sz val="12"/>
        <color theme="1"/>
        <rFont val="Montserrat"/>
      </rPr>
      <t xml:space="preserve"> in cell C4.
After entering the formula for the mean in cell C4, use the absolute cell reference ($) by pressing the F4 button on your keyboard. This will ensure that calculation of the mean will not change when the formula is copied to cells C5 through C63.
Alternatively, you can enter the formula </t>
    </r>
    <r>
      <rPr>
        <b/>
        <sz val="12"/>
        <color theme="1"/>
        <rFont val="Montserrat"/>
      </rPr>
      <t>=C4</t>
    </r>
    <r>
      <rPr>
        <sz val="12"/>
        <color theme="1"/>
        <rFont val="Montserrat"/>
      </rPr>
      <t xml:space="preserve"> in cell C5. When using this method you will copy the formula from cell G5 to cells C6 through C63.</t>
    </r>
  </si>
  <si>
    <r>
      <t xml:space="preserve">For an XmR chart the Upper Process Limit (UPL) , Lower Process Limit (LPL) , and the Upper Range Limit (URL) must be calculated using the formulas:
UPL = Average + (2.660*Ave. mR)
LPL = Average - (2.660*Ave. mR)
URL = 3.268*Ave. mR
For the UPL, enter the formula </t>
    </r>
    <r>
      <rPr>
        <b/>
        <sz val="12"/>
        <color theme="1"/>
        <rFont val="Montserrat"/>
      </rPr>
      <t>= C4 + (2.660*G4)</t>
    </r>
    <r>
      <rPr>
        <sz val="12"/>
        <color theme="1"/>
        <rFont val="Montserrat"/>
      </rPr>
      <t xml:space="preserve"> in cell D4.
for the LPL, enter the formula </t>
    </r>
    <r>
      <rPr>
        <b/>
        <sz val="12"/>
        <color theme="1"/>
        <rFont val="Montserrat"/>
      </rPr>
      <t>= MAX(0, C4 - (2.660*G4))</t>
    </r>
    <r>
      <rPr>
        <sz val="12"/>
        <color theme="1"/>
        <rFont val="Montserrat"/>
      </rPr>
      <t xml:space="preserve"> in cell E4.
For the URL, enter the formula </t>
    </r>
    <r>
      <rPr>
        <b/>
        <sz val="12"/>
        <color theme="1"/>
        <rFont val="Montserrat"/>
      </rPr>
      <t xml:space="preserve">= 3.268*G4 </t>
    </r>
    <r>
      <rPr>
        <sz val="12"/>
        <color theme="1"/>
        <rFont val="Montserrat"/>
      </rPr>
      <t xml:space="preserve">in cell H4.
Note that the formula for the LPL uses the </t>
    </r>
    <r>
      <rPr>
        <b/>
        <sz val="12"/>
        <color theme="1"/>
        <rFont val="Montserrat"/>
      </rPr>
      <t>MAX()</t>
    </r>
    <r>
      <rPr>
        <sz val="12"/>
        <color theme="1"/>
        <rFont val="Montserrat"/>
      </rPr>
      <t xml:space="preserve"> function. This function returns the larger of the two arguments. It is necessary when the calculated LPL may be less than zero (negative). A negative LPL in many contexts does not make sense. In cases where the calculated LPL is negative, the MAX() function returns the boundary value of zero.
After calculating the process limits, copy the equations for each limit into cells 5 through 63 for their respective columns.
Note that the scaling factors of 2.660 and 3.268 are always used when a dataset is composed of logically comparable individual values. Using alternative methods, like adding and subtracting three-times the standard deviation to the mean, will yield incorrect limits.</t>
    </r>
  </si>
  <si>
    <t>With the requisite process statistics in hand it is time to assemble the XmR chart.
To create the X chart portion of the XmR chart select cells A4 through E63. With these cells selected, navigate to the ribbon and select INSERT &gt; LINE CHART.
To create the mR chart portion of the XmR chart select cells F4 through H63. With these cells selected, navigate to the ribbon and select INSERT &gt; LINE CHART.
With the charts inserted, format the charts so that: 
1) The chart style is a line chart.
2) All process limits are red dotted lines.
3) The mean and average moving range are solid black dotted lines.
Additionally, establish conditional formating paramters for the Values column (B4:B63) and the mR column (F5:F63). These conditional formatting settings should make any cell with a value greater than the Upper Process Limit (UPL) or less than the Lower Process Limit (LPL) red in the Value column (B4:B63). Similarly for the mR column (F5:F63), any cell with a value greater than the Upper Range Limit should be conditionally formatted to turn red.</t>
  </si>
  <si>
    <t xml:space="preserve">With 1 value greater than the Upper Process Limit (UPL) and 4 values equal to the Lower Process Limit (LPL) on the X chart and 1 value greater than the Upper Range Limit (URL) on the mR chart, the manufacturing process is characterized as unpredictable.
An unpredictable process, as oppsed to a predictable process, is influenced by both common causes of routine variation and assignable causes of exceptional variation. This means that all that we can expect from this process in the future is the unexpected. Until the assignable causes of exceptional variation are understood and eliminated, this process will continue to produce values outside of the process limits. </t>
  </si>
  <si>
    <t>Understanding the XmR chart</t>
  </si>
  <si>
    <t>Select and copy cells A2:B61. With the cells copied, navigate pack to the Step 1 tab and paste the copied data in cells A4:A63.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</si>
</sst>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16" x14ac:knownFonts="1">
    <font>
      <sz val="10"/>
      <color rgb="FF000000"/>
      <name val="Arial"/>
      <scheme val="minor"/>
    </font>
    <font>
      <sz val="10"/>
      <color theme="1"/>
      <name val="Arial"/>
      <family val="2"/>
    </font>
    <font>
      <sz val="10"/>
      <name val="Arial"/>
      <family val="2"/>
    </font>
    <font>
      <b/>
      <u/>
      <sz val="16"/>
      <color rgb="FF0000FF"/>
      <name val="Montserrat"/>
    </font>
    <font>
      <b/>
      <sz val="16"/>
      <color theme="1"/>
      <name val="Montserrat"/>
    </font>
    <font>
      <sz val="12"/>
      <color theme="1"/>
      <name val="Montserrat"/>
    </font>
    <font>
      <sz val="10"/>
      <color theme="1"/>
      <name val="Arial"/>
      <family val="2"/>
      <scheme val="minor"/>
    </font>
    <font>
      <sz val="11"/>
      <color theme="1"/>
      <name val="Montserrat"/>
    </font>
    <font>
      <sz val="10"/>
      <color theme="1"/>
      <name val="Montserrat"/>
    </font>
    <font>
      <b/>
      <sz val="12"/>
      <color theme="1"/>
      <name val="Montserrat"/>
    </font>
    <font>
      <sz val="12"/>
      <color theme="2"/>
      <name val="Montserrat"/>
    </font>
    <font>
      <sz val="11"/>
      <color rgb="FF000000"/>
      <name val="Montserrat"/>
    </font>
    <font>
      <sz val="11"/>
      <color rgb="FFFF0000"/>
      <name val="Montserrat"/>
    </font>
    <font>
      <b/>
      <sz val="11"/>
      <color rgb="FFC00000"/>
      <name val="Montserrat"/>
    </font>
    <font>
      <b/>
      <sz val="16"/>
      <color rgb="FFC00000"/>
      <name val="Montserrat"/>
    </font>
    <font>
      <sz val="10"/>
      <color rgb="FFC00000"/>
      <name val="Arial"/>
      <family val="2"/>
    </font>
  </fonts>
  <fills count="3">
    <fill>
      <patternFill patternType="none"/>
    </fill>
    <fill>
      <patternFill patternType="gray125"/>
    </fill>
    <fill>
      <patternFill patternType="solid">
        <fgColor theme="7" tint="0.79998168889431442"/>
        <bgColor indexed="64"/>
      </patternFill>
    </fill>
  </fills>
  <borders count="49">
    <border>
      <left/>
      <right/>
      <top/>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D72323"/>
      </left>
      <right style="thin">
        <color rgb="FFD72323"/>
      </right>
      <top style="thin">
        <color rgb="FFD72323"/>
      </top>
      <bottom style="thin">
        <color rgb="FFA11A1A"/>
      </bottom>
      <diagonal/>
    </border>
    <border>
      <left style="thin">
        <color rgb="FFD72323"/>
      </left>
      <right style="thin">
        <color rgb="FFB7E1CD"/>
      </right>
      <top style="thin">
        <color rgb="FFB7E1CD"/>
      </top>
      <bottom style="thin">
        <color rgb="FFB7E1CD"/>
      </bottom>
      <diagonal/>
    </border>
    <border>
      <left style="thin">
        <color rgb="FFB7E1CD"/>
      </left>
      <right style="thin">
        <color rgb="FFB7E1CD"/>
      </right>
      <top style="thin">
        <color rgb="FFB7E1CD"/>
      </top>
      <bottom style="thin">
        <color rgb="FFB7E1CD"/>
      </bottom>
      <diagonal/>
    </border>
    <border>
      <left/>
      <right style="thin">
        <color rgb="FFD72323"/>
      </right>
      <top/>
      <bottom/>
      <diagonal/>
    </border>
    <border>
      <left style="thin">
        <color rgb="FFD72323"/>
      </left>
      <right style="thin">
        <color rgb="FFB7E1CD"/>
      </right>
      <top style="thin">
        <color rgb="FFB7E1CD"/>
      </top>
      <bottom style="thin">
        <color rgb="FFD72323"/>
      </bottom>
      <diagonal/>
    </border>
    <border>
      <left style="thin">
        <color rgb="FFB7E1CD"/>
      </left>
      <right style="thin">
        <color rgb="FFB7E1CD"/>
      </right>
      <top style="thin">
        <color rgb="FFB7E1CD"/>
      </top>
      <bottom style="thin">
        <color rgb="FFD72323"/>
      </bottom>
      <diagonal/>
    </border>
    <border>
      <left/>
      <right/>
      <top/>
      <bottom style="thin">
        <color rgb="FFD72323"/>
      </bottom>
      <diagonal/>
    </border>
    <border>
      <left/>
      <right style="thin">
        <color rgb="FFD72323"/>
      </right>
      <top/>
      <bottom style="thin">
        <color rgb="FFD72323"/>
      </bottom>
      <diagonal/>
    </border>
    <border>
      <left style="thin">
        <color rgb="FFD72323"/>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D72323"/>
      </left>
      <right style="thin">
        <color rgb="FFEFEFEF"/>
      </right>
      <top style="thin">
        <color rgb="FFEFEFEF"/>
      </top>
      <bottom style="thin">
        <color rgb="FFEFEFEF"/>
      </bottom>
      <diagonal/>
    </border>
    <border>
      <left style="thin">
        <color rgb="FFEFEFEF"/>
      </left>
      <right style="thin">
        <color rgb="FFEFEFEF"/>
      </right>
      <top style="thin">
        <color rgb="FFEFEFEF"/>
      </top>
      <bottom style="thin">
        <color rgb="FFEFEFEF"/>
      </bottom>
      <diagonal/>
    </border>
    <border>
      <left style="thin">
        <color rgb="FFD72323"/>
      </left>
      <right style="thin">
        <color rgb="FFEFEFEF"/>
      </right>
      <top style="thin">
        <color rgb="FFEFEFEF"/>
      </top>
      <bottom style="thin">
        <color rgb="FFD72323"/>
      </bottom>
      <diagonal/>
    </border>
    <border>
      <left style="thin">
        <color rgb="FFEFEFEF"/>
      </left>
      <right style="thin">
        <color rgb="FFEFEFEF"/>
      </right>
      <top style="thin">
        <color rgb="FFEFEFEF"/>
      </top>
      <bottom style="thin">
        <color rgb="FFD72323"/>
      </bottom>
      <diagonal/>
    </border>
    <border>
      <left style="thin">
        <color rgb="FFA11A1A"/>
      </left>
      <right style="thin">
        <color rgb="FFD72323"/>
      </right>
      <top style="thin">
        <color rgb="FFA11A1A"/>
      </top>
      <bottom style="thin">
        <color rgb="FFA11A1A"/>
      </bottom>
      <diagonal/>
    </border>
    <border>
      <left style="thin">
        <color rgb="FFD72323"/>
      </left>
      <right style="thin">
        <color rgb="FFD72323"/>
      </right>
      <top style="thin">
        <color rgb="FFA11A1A"/>
      </top>
      <bottom style="thin">
        <color rgb="FFA11A1A"/>
      </bottom>
      <diagonal/>
    </border>
    <border>
      <left style="thin">
        <color rgb="FFD72323"/>
      </left>
      <right style="thin">
        <color rgb="FFA11A1A"/>
      </right>
      <top style="thin">
        <color rgb="FFA11A1A"/>
      </top>
      <bottom style="thin">
        <color rgb="FFA11A1A"/>
      </bottom>
      <diagonal/>
    </border>
    <border>
      <left style="thin">
        <color rgb="FFA11A1A"/>
      </left>
      <right style="thin">
        <color rgb="FFFFFFFF"/>
      </right>
      <top style="thin">
        <color rgb="FFFFFFFF"/>
      </top>
      <bottom style="thin">
        <color rgb="FFFFFFFF"/>
      </bottom>
      <diagonal/>
    </border>
    <border>
      <left style="thin">
        <color rgb="FFB7E1CD"/>
      </left>
      <right style="thin">
        <color rgb="FFA11A1A"/>
      </right>
      <top style="thin">
        <color rgb="FFB7E1CD"/>
      </top>
      <bottom style="thin">
        <color rgb="FFB7E1CD"/>
      </bottom>
      <diagonal/>
    </border>
    <border>
      <left style="thin">
        <color rgb="FFA11A1A"/>
      </left>
      <right style="thin">
        <color rgb="FFEFEFEF"/>
      </right>
      <top style="thin">
        <color rgb="FFEFEFEF"/>
      </top>
      <bottom style="thin">
        <color rgb="FFEFEFEF"/>
      </bottom>
      <diagonal/>
    </border>
    <border>
      <left style="thin">
        <color rgb="FFA11A1A"/>
      </left>
      <right style="thin">
        <color rgb="FFEFEFEF"/>
      </right>
      <top style="thin">
        <color rgb="FFEFEFEF"/>
      </top>
      <bottom style="thin">
        <color rgb="FFA11A1A"/>
      </bottom>
      <diagonal/>
    </border>
    <border>
      <left style="thin">
        <color rgb="FFEFEFEF"/>
      </left>
      <right style="thin">
        <color rgb="FFEFEFEF"/>
      </right>
      <top style="thin">
        <color rgb="FFEFEFEF"/>
      </top>
      <bottom style="thin">
        <color rgb="FFA11A1A"/>
      </bottom>
      <diagonal/>
    </border>
    <border>
      <left style="thin">
        <color rgb="FFB7E1CD"/>
      </left>
      <right style="thin">
        <color rgb="FFB7E1CD"/>
      </right>
      <top style="thin">
        <color rgb="FFB7E1CD"/>
      </top>
      <bottom style="thin">
        <color rgb="FFA11A1A"/>
      </bottom>
      <diagonal/>
    </border>
    <border>
      <left style="thin">
        <color rgb="FFB7E1CD"/>
      </left>
      <right style="thin">
        <color rgb="FFA11A1A"/>
      </right>
      <top style="thin">
        <color rgb="FFB7E1CD"/>
      </top>
      <bottom style="thin">
        <color rgb="FFA11A1A"/>
      </bottom>
      <diagonal/>
    </border>
    <border>
      <left style="thin">
        <color rgb="FFFFFFFF"/>
      </left>
      <right style="thin">
        <color rgb="FFA11A1A"/>
      </right>
      <top style="thin">
        <color rgb="FFFFFFFF"/>
      </top>
      <bottom style="thin">
        <color rgb="FFFFFFFF"/>
      </bottom>
      <diagonal/>
    </border>
    <border>
      <left style="thin">
        <color rgb="FFEFEFEF"/>
      </left>
      <right style="thin">
        <color rgb="FFA11A1A"/>
      </right>
      <top style="thin">
        <color rgb="FFEFEFEF"/>
      </top>
      <bottom style="thin">
        <color rgb="FFEFEFEF"/>
      </bottom>
      <diagonal/>
    </border>
    <border>
      <left style="thin">
        <color rgb="FFEFEFEF"/>
      </left>
      <right style="thin">
        <color rgb="FFA11A1A"/>
      </right>
      <top style="thin">
        <color rgb="FFEFEFEF"/>
      </top>
      <bottom style="thin">
        <color rgb="FFA11A1A"/>
      </bottom>
      <diagonal/>
    </border>
    <border>
      <left style="thin">
        <color rgb="FFF4C7C3"/>
      </left>
      <right style="thin">
        <color rgb="FFF4C7C3"/>
      </right>
      <top style="thin">
        <color rgb="FFF4C7C3"/>
      </top>
      <bottom style="thin">
        <color rgb="FFF4C7C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rgb="FFB7B7B7"/>
      </left>
      <right style="thin">
        <color rgb="FFB7B7B7"/>
      </right>
      <top/>
      <bottom style="thin">
        <color rgb="FFB7B7B7"/>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120">
    <xf numFmtId="0" fontId="0" fillId="0" borderId="0" xfId="0"/>
    <xf numFmtId="0" fontId="4" fillId="0" borderId="7" xfId="0" applyFont="1" applyBorder="1" applyAlignment="1">
      <alignment horizontal="left"/>
    </xf>
    <xf numFmtId="0" fontId="5" fillId="0" borderId="7" xfId="0" applyFont="1" applyBorder="1" applyAlignment="1">
      <alignment horizontal="left"/>
    </xf>
    <xf numFmtId="0" fontId="5" fillId="0" borderId="0" xfId="0" applyFont="1"/>
    <xf numFmtId="1" fontId="1" fillId="0" borderId="10" xfId="0" applyNumberFormat="1" applyFont="1" applyBorder="1"/>
    <xf numFmtId="2" fontId="1" fillId="0" borderId="11" xfId="0" applyNumberFormat="1" applyFont="1" applyBorder="1"/>
    <xf numFmtId="0" fontId="6" fillId="0" borderId="0" xfId="0" applyFont="1"/>
    <xf numFmtId="0" fontId="6" fillId="0" borderId="12" xfId="0" applyFont="1" applyBorder="1"/>
    <xf numFmtId="1" fontId="1" fillId="0" borderId="13" xfId="0" applyNumberFormat="1" applyFont="1" applyBorder="1"/>
    <xf numFmtId="2" fontId="1" fillId="0" borderId="14" xfId="0" applyNumberFormat="1" applyFont="1" applyBorder="1"/>
    <xf numFmtId="0" fontId="6" fillId="0" borderId="15" xfId="0" applyFont="1" applyBorder="1"/>
    <xf numFmtId="0" fontId="6" fillId="0" borderId="16" xfId="0" applyFont="1" applyBorder="1"/>
    <xf numFmtId="2" fontId="1" fillId="0" borderId="18" xfId="0" applyNumberFormat="1" applyFont="1" applyBorder="1" applyAlignment="1">
      <alignment horizontal="right"/>
    </xf>
    <xf numFmtId="2" fontId="1" fillId="0" borderId="20" xfId="0" applyNumberFormat="1" applyFont="1" applyBorder="1" applyAlignment="1">
      <alignment horizontal="right"/>
    </xf>
    <xf numFmtId="0" fontId="1" fillId="0" borderId="11" xfId="0" applyFont="1" applyBorder="1" applyAlignment="1">
      <alignment vertical="center"/>
    </xf>
    <xf numFmtId="0" fontId="1" fillId="0" borderId="22" xfId="0" applyFont="1" applyBorder="1" applyAlignment="1">
      <alignment horizontal="right"/>
    </xf>
    <xf numFmtId="0" fontId="1" fillId="0" borderId="14" xfId="0" applyFont="1" applyBorder="1" applyAlignment="1">
      <alignment vertical="center"/>
    </xf>
    <xf numFmtId="164" fontId="1" fillId="0" borderId="18" xfId="0" applyNumberFormat="1" applyFont="1" applyBorder="1" applyAlignment="1">
      <alignment vertical="center"/>
    </xf>
    <xf numFmtId="2" fontId="1" fillId="0" borderId="20" xfId="0" applyNumberFormat="1" applyFont="1" applyBorder="1" applyAlignment="1">
      <alignment vertical="center"/>
    </xf>
    <xf numFmtId="2" fontId="1" fillId="0" borderId="18" xfId="0" applyNumberFormat="1" applyFont="1" applyBorder="1" applyAlignment="1">
      <alignment vertical="center"/>
    </xf>
    <xf numFmtId="2" fontId="1" fillId="0" borderId="22" xfId="0" applyNumberFormat="1" applyFont="1" applyBorder="1" applyAlignment="1">
      <alignment vertical="center"/>
    </xf>
    <xf numFmtId="0" fontId="1" fillId="0" borderId="27" xfId="0" applyFont="1" applyBorder="1" applyAlignment="1">
      <alignment vertical="center"/>
    </xf>
    <xf numFmtId="0" fontId="1" fillId="0" borderId="30" xfId="0" applyFont="1" applyBorder="1" applyAlignment="1">
      <alignment horizontal="right"/>
    </xf>
    <xf numFmtId="2" fontId="1" fillId="0" borderId="30" xfId="0" applyNumberFormat="1" applyFont="1" applyBorder="1" applyAlignment="1">
      <alignment vertical="center"/>
    </xf>
    <xf numFmtId="0" fontId="1" fillId="0" borderId="31" xfId="0" applyFont="1" applyBorder="1" applyAlignment="1">
      <alignment vertical="center"/>
    </xf>
    <xf numFmtId="0" fontId="1" fillId="0" borderId="32" xfId="0" applyFont="1" applyBorder="1" applyAlignment="1">
      <alignment vertical="center"/>
    </xf>
    <xf numFmtId="0" fontId="1" fillId="0" borderId="18" xfId="0" applyFont="1" applyBorder="1" applyAlignment="1">
      <alignment vertical="center"/>
    </xf>
    <xf numFmtId="2" fontId="1" fillId="0" borderId="33" xfId="0" applyNumberFormat="1" applyFont="1" applyBorder="1" applyAlignment="1">
      <alignment vertical="center"/>
    </xf>
    <xf numFmtId="0" fontId="1" fillId="0" borderId="20" xfId="0" applyFont="1" applyBorder="1" applyAlignment="1">
      <alignment vertical="center"/>
    </xf>
    <xf numFmtId="2" fontId="1" fillId="0" borderId="34" xfId="0" applyNumberFormat="1" applyFont="1" applyBorder="1" applyAlignment="1">
      <alignment vertical="center"/>
    </xf>
    <xf numFmtId="0" fontId="1" fillId="0" borderId="30" xfId="0" applyFont="1" applyBorder="1" applyAlignment="1">
      <alignment vertical="center"/>
    </xf>
    <xf numFmtId="2" fontId="1" fillId="0" borderId="35" xfId="0" applyNumberFormat="1" applyFont="1" applyBorder="1" applyAlignment="1">
      <alignment vertical="center"/>
    </xf>
    <xf numFmtId="2" fontId="1" fillId="0" borderId="36" xfId="0" applyNumberFormat="1" applyFont="1" applyBorder="1" applyAlignment="1">
      <alignment horizontal="right"/>
    </xf>
    <xf numFmtId="0" fontId="5" fillId="0" borderId="0" xfId="0" applyFont="1" applyAlignment="1">
      <alignment horizontal="center" vertical="center" wrapText="1"/>
    </xf>
    <xf numFmtId="2" fontId="1" fillId="0" borderId="36" xfId="0" applyNumberFormat="1" applyFont="1" applyBorder="1" applyAlignment="1">
      <alignment vertical="center"/>
    </xf>
    <xf numFmtId="0" fontId="8" fillId="0" borderId="7" xfId="0" applyFont="1" applyBorder="1" applyAlignment="1">
      <alignment horizontal="right" wrapText="1"/>
    </xf>
    <xf numFmtId="2" fontId="8" fillId="0" borderId="0" xfId="0" applyNumberFormat="1" applyFont="1" applyAlignment="1">
      <alignment horizontal="right"/>
    </xf>
    <xf numFmtId="0" fontId="8" fillId="0" borderId="0" xfId="0" applyFont="1" applyAlignment="1">
      <alignment horizontal="right"/>
    </xf>
    <xf numFmtId="0" fontId="10" fillId="0" borderId="23" xfId="0" applyFont="1" applyBorder="1" applyAlignment="1">
      <alignment horizontal="left" vertical="center"/>
    </xf>
    <xf numFmtId="0" fontId="10" fillId="0" borderId="24" xfId="0" applyFont="1" applyBorder="1" applyAlignment="1">
      <alignment horizontal="right" vertical="center"/>
    </xf>
    <xf numFmtId="0" fontId="10" fillId="0" borderId="25" xfId="0" applyFont="1" applyBorder="1" applyAlignment="1">
      <alignment horizontal="right" vertical="center"/>
    </xf>
    <xf numFmtId="0" fontId="10" fillId="0" borderId="9" xfId="0" applyFont="1" applyBorder="1" applyAlignment="1">
      <alignment horizontal="left" vertical="center"/>
    </xf>
    <xf numFmtId="0" fontId="10" fillId="0" borderId="9" xfId="0" applyFont="1" applyBorder="1" applyAlignment="1">
      <alignment horizontal="right" vertical="center"/>
    </xf>
    <xf numFmtId="1" fontId="1" fillId="0" borderId="26" xfId="0" applyNumberFormat="1" applyFont="1" applyBorder="1" applyAlignment="1">
      <alignment horizontal="left"/>
    </xf>
    <xf numFmtId="1" fontId="1" fillId="0" borderId="28" xfId="0" applyNumberFormat="1" applyFont="1" applyBorder="1" applyAlignment="1">
      <alignment horizontal="left"/>
    </xf>
    <xf numFmtId="1" fontId="1" fillId="0" borderId="29" xfId="0" applyNumberFormat="1" applyFont="1" applyBorder="1" applyAlignment="1">
      <alignment horizontal="left"/>
    </xf>
    <xf numFmtId="1" fontId="1" fillId="0" borderId="17" xfId="0" applyNumberFormat="1" applyFont="1" applyBorder="1" applyAlignment="1">
      <alignment horizontal="left"/>
    </xf>
    <xf numFmtId="1" fontId="1" fillId="0" borderId="19" xfId="0" applyNumberFormat="1" applyFont="1" applyBorder="1" applyAlignment="1">
      <alignment horizontal="left"/>
    </xf>
    <xf numFmtId="1" fontId="1" fillId="0" borderId="21" xfId="0" applyNumberFormat="1" applyFont="1" applyBorder="1" applyAlignment="1">
      <alignment horizontal="left"/>
    </xf>
    <xf numFmtId="0" fontId="8" fillId="0" borderId="7" xfId="0" applyFont="1" applyBorder="1" applyAlignment="1">
      <alignment horizontal="left"/>
    </xf>
    <xf numFmtId="1" fontId="8" fillId="0" borderId="0" xfId="0" applyNumberFormat="1" applyFont="1" applyAlignment="1">
      <alignment horizontal="left"/>
    </xf>
    <xf numFmtId="0" fontId="8" fillId="0" borderId="0" xfId="0" applyFont="1" applyAlignment="1">
      <alignment horizontal="left"/>
    </xf>
    <xf numFmtId="0" fontId="0" fillId="0" borderId="0" xfId="0" applyAlignment="1">
      <alignment horizontal="left"/>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7" fillId="0" borderId="45" xfId="0" applyFont="1" applyBorder="1" applyAlignment="1">
      <alignment horizontal="center" vertical="center" wrapText="1"/>
    </xf>
    <xf numFmtId="0" fontId="1" fillId="0" borderId="1" xfId="0" applyFont="1" applyBorder="1"/>
    <xf numFmtId="0" fontId="5" fillId="0" borderId="0" xfId="0" applyFont="1" applyAlignment="1">
      <alignment vertical="center" wrapText="1"/>
    </xf>
    <xf numFmtId="0" fontId="0" fillId="0" borderId="0" xfId="0"/>
    <xf numFmtId="0" fontId="11" fillId="0" borderId="37" xfId="0" applyFont="1" applyBorder="1" applyAlignment="1">
      <alignment horizontal="center" vertical="center" wrapText="1"/>
    </xf>
    <xf numFmtId="0" fontId="11" fillId="0" borderId="38" xfId="0" applyFont="1" applyBorder="1" applyAlignment="1">
      <alignment horizontal="center" vertical="center" wrapText="1"/>
    </xf>
    <xf numFmtId="0" fontId="11" fillId="0" borderId="39"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42" xfId="0" applyFont="1" applyBorder="1" applyAlignment="1">
      <alignment horizontal="center" vertical="center" wrapText="1"/>
    </xf>
    <xf numFmtId="0" fontId="11" fillId="0" borderId="43" xfId="0" applyFont="1" applyBorder="1" applyAlignment="1">
      <alignment horizontal="center" vertical="center" wrapText="1"/>
    </xf>
    <xf numFmtId="0" fontId="11" fillId="0" borderId="44" xfId="0" applyFont="1" applyBorder="1" applyAlignment="1">
      <alignment horizontal="center" vertical="center" wrapText="1"/>
    </xf>
    <xf numFmtId="0" fontId="14" fillId="0" borderId="7" xfId="0" applyFont="1" applyBorder="1" applyAlignment="1">
      <alignment horizontal="left"/>
    </xf>
    <xf numFmtId="0" fontId="15" fillId="0" borderId="7" xfId="0" applyFont="1" applyBorder="1"/>
    <xf numFmtId="0" fontId="5" fillId="2" borderId="7" xfId="0" applyFont="1" applyFill="1" applyBorder="1" applyAlignment="1">
      <alignment horizontal="right"/>
    </xf>
    <xf numFmtId="0" fontId="2" fillId="2" borderId="7" xfId="0" applyFont="1" applyFill="1" applyBorder="1"/>
    <xf numFmtId="0" fontId="14" fillId="0" borderId="0" xfId="0" applyFont="1" applyAlignment="1">
      <alignment horizontal="center"/>
    </xf>
    <xf numFmtId="0" fontId="15" fillId="0" borderId="0" xfId="0" applyFont="1"/>
    <xf numFmtId="0" fontId="5" fillId="0" borderId="37"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0" xfId="0" applyFont="1" applyAlignment="1">
      <alignment horizontal="center" vertical="center" wrapText="1"/>
    </xf>
    <xf numFmtId="0" fontId="5" fillId="0" borderId="41"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3" xfId="0" applyFont="1" applyBorder="1" applyAlignment="1">
      <alignment horizontal="center" vertical="center" wrapText="1"/>
    </xf>
    <xf numFmtId="0" fontId="5" fillId="0" borderId="44" xfId="0" applyFont="1" applyBorder="1" applyAlignment="1">
      <alignment horizontal="center" vertical="center" wrapText="1"/>
    </xf>
    <xf numFmtId="0" fontId="5" fillId="0" borderId="7" xfId="0" applyFont="1" applyBorder="1" applyAlignment="1">
      <alignment horizontal="right"/>
    </xf>
    <xf numFmtId="0" fontId="2" fillId="0" borderId="7" xfId="0" applyFont="1" applyBorder="1"/>
    <xf numFmtId="0" fontId="14" fillId="0" borderId="7" xfId="0" applyFont="1" applyBorder="1" applyAlignment="1">
      <alignment horizontal="center"/>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4" fillId="2" borderId="37" xfId="0" applyFont="1" applyFill="1" applyBorder="1" applyAlignment="1">
      <alignment horizontal="center" vertical="center"/>
    </xf>
    <xf numFmtId="0" fontId="4" fillId="2" borderId="38" xfId="0" applyFont="1" applyFill="1" applyBorder="1" applyAlignment="1">
      <alignment horizontal="center" vertical="center"/>
    </xf>
    <xf numFmtId="0" fontId="4" fillId="2" borderId="39" xfId="0" applyFont="1" applyFill="1" applyBorder="1" applyAlignment="1">
      <alignment horizontal="center" vertical="center"/>
    </xf>
    <xf numFmtId="0" fontId="4" fillId="2" borderId="40" xfId="0" applyFont="1" applyFill="1" applyBorder="1" applyAlignment="1">
      <alignment horizontal="center" vertical="center"/>
    </xf>
    <xf numFmtId="0" fontId="4" fillId="2" borderId="0" xfId="0" applyFont="1" applyFill="1" applyAlignment="1">
      <alignment horizontal="center" vertical="center"/>
    </xf>
    <xf numFmtId="0" fontId="4" fillId="2" borderId="41" xfId="0" applyFont="1" applyFill="1" applyBorder="1" applyAlignment="1">
      <alignment horizontal="center" vertical="center"/>
    </xf>
    <xf numFmtId="0" fontId="4" fillId="2" borderId="42" xfId="0" applyFont="1" applyFill="1" applyBorder="1" applyAlignment="1">
      <alignment horizontal="center" vertical="center"/>
    </xf>
    <xf numFmtId="0" fontId="4" fillId="2" borderId="43" xfId="0" applyFont="1" applyFill="1" applyBorder="1" applyAlignment="1">
      <alignment horizontal="center" vertical="center"/>
    </xf>
    <xf numFmtId="0" fontId="4" fillId="2" borderId="44"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0" borderId="0" xfId="0" applyFont="1" applyAlignment="1">
      <alignment horizontal="center" vertical="center"/>
    </xf>
    <xf numFmtId="0" fontId="11" fillId="0" borderId="0" xfId="0" applyFont="1" applyBorder="1" applyAlignment="1">
      <alignment horizontal="center" vertical="center" wrapText="1"/>
    </xf>
    <xf numFmtId="0" fontId="3" fillId="0" borderId="46" xfId="0" applyFont="1" applyBorder="1" applyAlignment="1">
      <alignment horizontal="center"/>
    </xf>
    <xf numFmtId="0" fontId="0" fillId="0" borderId="47" xfId="0" applyBorder="1"/>
    <xf numFmtId="0" fontId="0" fillId="0" borderId="48" xfId="0" applyBorder="1"/>
    <xf numFmtId="0" fontId="1" fillId="0" borderId="37" xfId="0" applyFont="1" applyBorder="1" applyAlignment="1">
      <alignment horizontal="center"/>
    </xf>
    <xf numFmtId="0" fontId="1" fillId="0" borderId="38" xfId="0" applyFont="1" applyBorder="1" applyAlignment="1">
      <alignment horizontal="center"/>
    </xf>
    <xf numFmtId="0" fontId="1" fillId="0" borderId="39" xfId="0" applyFont="1" applyBorder="1" applyAlignment="1">
      <alignment horizontal="center"/>
    </xf>
    <xf numFmtId="0" fontId="1" fillId="0" borderId="40" xfId="0" applyFont="1" applyBorder="1" applyAlignment="1">
      <alignment horizontal="center"/>
    </xf>
    <xf numFmtId="0" fontId="1" fillId="0" borderId="0" xfId="0" applyFont="1" applyBorder="1" applyAlignment="1">
      <alignment horizontal="center"/>
    </xf>
    <xf numFmtId="0" fontId="1" fillId="0" borderId="41" xfId="0" applyFont="1" applyBorder="1" applyAlignment="1">
      <alignment horizontal="center"/>
    </xf>
    <xf numFmtId="0" fontId="1" fillId="0" borderId="42" xfId="0" applyFont="1" applyBorder="1" applyAlignment="1">
      <alignment horizontal="center"/>
    </xf>
    <xf numFmtId="0" fontId="1" fillId="0" borderId="43" xfId="0" applyFont="1" applyBorder="1" applyAlignment="1">
      <alignment horizontal="center"/>
    </xf>
    <xf numFmtId="0" fontId="1" fillId="0" borderId="44" xfId="0" applyFont="1" applyBorder="1" applyAlignment="1">
      <alignment horizontal="center"/>
    </xf>
  </cellXfs>
  <cellStyles count="1">
    <cellStyle name="Normal" xfId="0" builtinId="0"/>
  </cellStyles>
  <dxfs count="44">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alignment horizontal="left" textRotation="0" wrapText="0" indent="0" justifyLastLine="0" shrinkToFit="0" readingOrder="0"/>
    </dxf>
    <dxf>
      <font>
        <strike val="0"/>
        <outline val="0"/>
        <shadow val="0"/>
        <u val="none"/>
        <vertAlign val="baseline"/>
        <sz val="12"/>
        <color theme="2"/>
        <name val="Montserrat"/>
        <scheme val="none"/>
      </font>
      <fill>
        <patternFill patternType="none">
          <fgColor indexed="64"/>
          <bgColor auto="1"/>
        </patternFill>
      </fill>
    </dxf>
    <dxf>
      <alignment horizontal="left" textRotation="0" wrapText="0" indent="0" justifyLastLine="0" shrinkToFit="0" readingOrder="0"/>
    </dxf>
    <dxf>
      <font>
        <strike val="0"/>
        <outline val="0"/>
        <shadow val="0"/>
        <u val="none"/>
        <vertAlign val="baseline"/>
        <sz val="12"/>
        <color theme="2"/>
        <name val="Montserrat"/>
        <scheme val="none"/>
      </font>
    </dxf>
    <dxf>
      <font>
        <strike val="0"/>
        <outline val="0"/>
        <shadow val="0"/>
        <u val="none"/>
        <vertAlign val="baseline"/>
        <color theme="1"/>
        <family val="2"/>
      </font>
      <numFmt numFmtId="1" formatCode="0"/>
      <alignment horizontal="left" vertical="bottom" textRotation="0" wrapText="0" indent="0" justifyLastLine="0" shrinkToFit="0" readingOrder="0"/>
      <border diagonalUp="0" diagonalDown="0">
        <left style="thin">
          <color rgb="FFD72323"/>
        </left>
        <right style="thin">
          <color rgb="FFEFEFEF"/>
        </right>
        <top style="thin">
          <color rgb="FFEFEFEF"/>
        </top>
        <bottom style="thin">
          <color rgb="FFEFEFEF"/>
        </bottom>
        <vertical/>
        <horizontal/>
      </border>
    </dxf>
    <dxf>
      <alignment horizontal="left" textRotation="0" wrapText="0" indent="0" justifyLastLine="0" shrinkToFit="0" readingOrder="0"/>
    </dxf>
    <dxf>
      <font>
        <strike val="0"/>
        <outline val="0"/>
        <shadow val="0"/>
        <u val="none"/>
        <vertAlign val="baseline"/>
        <sz val="12"/>
        <color theme="2"/>
        <name val="Montserrat"/>
        <scheme val="none"/>
      </font>
    </dxf>
    <dxf>
      <alignment horizontal="left" textRotation="0" wrapText="0" indent="0" justifyLastLine="0" shrinkToFit="0" readingOrder="0"/>
    </dxf>
    <dxf>
      <alignment horizontal="left" textRotation="0" wrapText="0" indent="0" justifyLastLine="0" shrinkToFit="0" readingOrder="0"/>
    </dxf>
    <dxf>
      <alignment horizontal="right" vertical="center" textRotation="0" wrapText="0" indent="0" justifyLastLine="0" shrinkToFit="0" readingOrder="0"/>
    </dxf>
    <dxf>
      <font>
        <strike val="0"/>
        <outline val="0"/>
        <shadow val="0"/>
        <u val="none"/>
        <vertAlign val="baseline"/>
        <sz val="12"/>
        <color theme="2"/>
        <name val="Montserrat"/>
        <scheme val="none"/>
      </font>
    </dxf>
    <dxf>
      <fill>
        <patternFill patternType="solid">
          <fgColor rgb="FFEFEFEF"/>
          <bgColor rgb="FFEFEFEF"/>
        </patternFill>
      </fill>
    </dxf>
    <dxf>
      <fill>
        <patternFill patternType="solid">
          <fgColor rgb="FFFFFFFF"/>
          <bgColor rgb="FFFFFFFF"/>
        </patternFill>
      </fill>
    </dxf>
    <dxf>
      <fill>
        <patternFill patternType="solid">
          <fgColor rgb="FFD72323"/>
          <bgColor rgb="FFD72323"/>
        </patternFill>
      </fill>
    </dxf>
    <dxf>
      <fill>
        <patternFill patternType="solid">
          <fgColor rgb="FFEFEFEF"/>
          <bgColor rgb="FFEFEFEF"/>
        </patternFill>
      </fill>
    </dxf>
    <dxf>
      <fill>
        <patternFill patternType="solid">
          <fgColor rgb="FFFFFFFF"/>
          <bgColor rgb="FFFFFFFF"/>
        </patternFill>
      </fill>
    </dxf>
    <dxf>
      <fill>
        <patternFill patternType="solid">
          <fgColor rgb="FFD72323"/>
          <bgColor rgb="FFD72323"/>
        </patternFill>
      </fill>
    </dxf>
    <dxf>
      <fill>
        <patternFill patternType="solid">
          <fgColor rgb="FFEFEFEF"/>
          <bgColor rgb="FFEFEFEF"/>
        </patternFill>
      </fill>
    </dxf>
    <dxf>
      <fill>
        <patternFill patternType="solid">
          <fgColor rgb="FFFFFFFF"/>
          <bgColor rgb="FFFFFFFF"/>
        </patternFill>
      </fill>
    </dxf>
    <dxf>
      <fill>
        <patternFill patternType="solid">
          <fgColor rgb="FFD72323"/>
          <bgColor rgb="FFD72323"/>
        </patternFill>
      </fill>
    </dxf>
    <dxf>
      <fill>
        <patternFill patternType="solid">
          <fgColor rgb="FFEFEFEF"/>
          <bgColor rgb="FFEFEFEF"/>
        </patternFill>
      </fill>
    </dxf>
    <dxf>
      <fill>
        <patternFill patternType="solid">
          <fgColor rgb="FFFFFFFF"/>
          <bgColor rgb="FFFFFFFF"/>
        </patternFill>
      </fill>
    </dxf>
    <dxf>
      <fill>
        <patternFill patternType="solid">
          <fgColor rgb="FFD72323"/>
          <bgColor rgb="FFD72323"/>
        </patternFill>
      </fill>
    </dxf>
    <dxf>
      <fill>
        <patternFill patternType="solid">
          <fgColor rgb="FFEFEFEF"/>
          <bgColor rgb="FFEFEFEF"/>
        </patternFill>
      </fill>
    </dxf>
    <dxf>
      <fill>
        <patternFill patternType="solid">
          <fgColor rgb="FFFFFFFF"/>
          <bgColor rgb="FFFFFFFF"/>
        </patternFill>
      </fill>
    </dxf>
    <dxf>
      <fill>
        <patternFill patternType="solid">
          <fgColor rgb="FFD72323"/>
          <bgColor rgb="FFD72323"/>
        </patternFill>
      </fill>
    </dxf>
    <dxf>
      <fill>
        <patternFill patternType="solid">
          <fgColor rgb="FFEFEFEF"/>
          <bgColor rgb="FFEFEFEF"/>
        </patternFill>
      </fill>
    </dxf>
    <dxf>
      <fill>
        <patternFill patternType="solid">
          <fgColor rgb="FFFFFFFF"/>
          <bgColor rgb="FFFFFFFF"/>
        </patternFill>
      </fill>
    </dxf>
    <dxf>
      <fill>
        <patternFill patternType="solid">
          <fgColor rgb="FFD72323"/>
          <bgColor rgb="FFD72323"/>
        </patternFill>
      </fill>
    </dxf>
    <dxf>
      <fill>
        <patternFill patternType="solid">
          <fgColor rgb="FFEFEFEF"/>
          <bgColor rgb="FFEFEFEF"/>
        </patternFill>
      </fill>
    </dxf>
    <dxf>
      <fill>
        <patternFill patternType="solid">
          <fgColor rgb="FFFFFFFF"/>
          <bgColor rgb="FFFFFFFF"/>
        </patternFill>
      </fill>
    </dxf>
    <dxf>
      <fill>
        <patternFill patternType="solid">
          <fgColor rgb="FFD72323"/>
          <bgColor rgb="FFD72323"/>
        </patternFill>
      </fill>
    </dxf>
  </dxfs>
  <tableStyles count="7">
    <tableStyle name="Step 1-style" pivot="0" count="3" xr9:uid="{00000000-0011-0000-FFFF-FFFF00000000}">
      <tableStyleElement type="headerRow" dxfId="43"/>
      <tableStyleElement type="firstRowStripe" dxfId="42"/>
      <tableStyleElement type="secondRowStripe" dxfId="41"/>
    </tableStyle>
    <tableStyle name="Step 2-style" pivot="0" count="3" xr9:uid="{00000000-0011-0000-FFFF-FFFF01000000}">
      <tableStyleElement type="headerRow" dxfId="40"/>
      <tableStyleElement type="firstRowStripe" dxfId="39"/>
      <tableStyleElement type="secondRowStripe" dxfId="38"/>
    </tableStyle>
    <tableStyle name="Step 3-style" pivot="0" count="3" xr9:uid="{00000000-0011-0000-FFFF-FFFF02000000}">
      <tableStyleElement type="headerRow" dxfId="37"/>
      <tableStyleElement type="firstRowStripe" dxfId="36"/>
      <tableStyleElement type="secondRowStripe" dxfId="35"/>
    </tableStyle>
    <tableStyle name="Step 4-style" pivot="0" count="3" xr9:uid="{00000000-0011-0000-FFFF-FFFF03000000}">
      <tableStyleElement type="headerRow" dxfId="34"/>
      <tableStyleElement type="firstRowStripe" dxfId="33"/>
      <tableStyleElement type="secondRowStripe" dxfId="32"/>
    </tableStyle>
    <tableStyle name="Step 5-style" pivot="0" count="3" xr9:uid="{00000000-0011-0000-FFFF-FFFF04000000}">
      <tableStyleElement type="headerRow" dxfId="31"/>
      <tableStyleElement type="firstRowStripe" dxfId="30"/>
      <tableStyleElement type="secondRowStripe" dxfId="29"/>
    </tableStyle>
    <tableStyle name="Step 6-style" pivot="0" count="3" xr9:uid="{00000000-0011-0000-FFFF-FFFF05000000}">
      <tableStyleElement type="headerRow" dxfId="28"/>
      <tableStyleElement type="firstRowStripe" dxfId="27"/>
      <tableStyleElement type="secondRowStripe" dxfId="26"/>
    </tableStyle>
    <tableStyle name="RESULTS-style" pivot="0" count="3" xr9:uid="{00000000-0011-0000-FFFF-FFFF06000000}">
      <tableStyleElement type="headerRow" dxfId="25"/>
      <tableStyleElement type="firstRowStripe" dxfId="24"/>
      <tableStyleElement type="second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RESULTS!$B$3</c:f>
              <c:strCache>
                <c:ptCount val="1"/>
                <c:pt idx="0">
                  <c:v>Value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RESULTS!$B$4:$B$63</c:f>
              <c:numCache>
                <c:formatCode>0.00</c:formatCode>
                <c:ptCount val="60"/>
                <c:pt idx="0">
                  <c:v>0</c:v>
                </c:pt>
                <c:pt idx="1">
                  <c:v>0.82</c:v>
                </c:pt>
                <c:pt idx="2">
                  <c:v>0.98</c:v>
                </c:pt>
                <c:pt idx="3">
                  <c:v>0.89</c:v>
                </c:pt>
                <c:pt idx="4">
                  <c:v>1.76</c:v>
                </c:pt>
                <c:pt idx="5">
                  <c:v>1.1200000000000001</c:v>
                </c:pt>
                <c:pt idx="6">
                  <c:v>0.98</c:v>
                </c:pt>
                <c:pt idx="7">
                  <c:v>1.72</c:v>
                </c:pt>
                <c:pt idx="8">
                  <c:v>0.76</c:v>
                </c:pt>
                <c:pt idx="9">
                  <c:v>0.81</c:v>
                </c:pt>
                <c:pt idx="10">
                  <c:v>1.43</c:v>
                </c:pt>
                <c:pt idx="11">
                  <c:v>0.81</c:v>
                </c:pt>
                <c:pt idx="12">
                  <c:v>0.86</c:v>
                </c:pt>
                <c:pt idx="13">
                  <c:v>0.79</c:v>
                </c:pt>
                <c:pt idx="14">
                  <c:v>1.25</c:v>
                </c:pt>
                <c:pt idx="15">
                  <c:v>0.79</c:v>
                </c:pt>
                <c:pt idx="16">
                  <c:v>0.99</c:v>
                </c:pt>
                <c:pt idx="17">
                  <c:v>0.98</c:v>
                </c:pt>
                <c:pt idx="18">
                  <c:v>1.74</c:v>
                </c:pt>
                <c:pt idx="19">
                  <c:v>0.87</c:v>
                </c:pt>
                <c:pt idx="20">
                  <c:v>0.93</c:v>
                </c:pt>
                <c:pt idx="21">
                  <c:v>1.22</c:v>
                </c:pt>
                <c:pt idx="22">
                  <c:v>1.24</c:v>
                </c:pt>
                <c:pt idx="23">
                  <c:v>1.26</c:v>
                </c:pt>
                <c:pt idx="24">
                  <c:v>0</c:v>
                </c:pt>
                <c:pt idx="25">
                  <c:v>1.0900000000000001</c:v>
                </c:pt>
                <c:pt idx="26">
                  <c:v>1.17</c:v>
                </c:pt>
                <c:pt idx="27">
                  <c:v>0.88</c:v>
                </c:pt>
                <c:pt idx="28">
                  <c:v>1.1299999999999999</c:v>
                </c:pt>
                <c:pt idx="29">
                  <c:v>1.81</c:v>
                </c:pt>
                <c:pt idx="30">
                  <c:v>1.17</c:v>
                </c:pt>
                <c:pt idx="31">
                  <c:v>1.74</c:v>
                </c:pt>
                <c:pt idx="32">
                  <c:v>0.81</c:v>
                </c:pt>
                <c:pt idx="33">
                  <c:v>1.28</c:v>
                </c:pt>
                <c:pt idx="34">
                  <c:v>0</c:v>
                </c:pt>
                <c:pt idx="35">
                  <c:v>1.1100000000000001</c:v>
                </c:pt>
                <c:pt idx="36">
                  <c:v>1.17</c:v>
                </c:pt>
                <c:pt idx="37">
                  <c:v>1.22</c:v>
                </c:pt>
                <c:pt idx="38">
                  <c:v>1.26</c:v>
                </c:pt>
                <c:pt idx="39">
                  <c:v>1.01</c:v>
                </c:pt>
                <c:pt idx="40">
                  <c:v>2.62</c:v>
                </c:pt>
                <c:pt idx="41">
                  <c:v>1.44</c:v>
                </c:pt>
                <c:pt idx="42">
                  <c:v>1.24</c:v>
                </c:pt>
                <c:pt idx="43">
                  <c:v>1.05</c:v>
                </c:pt>
                <c:pt idx="44">
                  <c:v>1.02</c:v>
                </c:pt>
                <c:pt idx="45">
                  <c:v>0.99</c:v>
                </c:pt>
                <c:pt idx="46">
                  <c:v>0.9</c:v>
                </c:pt>
                <c:pt idx="47">
                  <c:v>0</c:v>
                </c:pt>
                <c:pt idx="48">
                  <c:v>1.1200000000000001</c:v>
                </c:pt>
                <c:pt idx="49">
                  <c:v>1.23</c:v>
                </c:pt>
                <c:pt idx="50">
                  <c:v>1.18</c:v>
                </c:pt>
                <c:pt idx="51">
                  <c:v>1.42</c:v>
                </c:pt>
                <c:pt idx="52">
                  <c:v>1.38</c:v>
                </c:pt>
                <c:pt idx="53">
                  <c:v>0.77</c:v>
                </c:pt>
                <c:pt idx="54">
                  <c:v>0.97</c:v>
                </c:pt>
                <c:pt idx="55">
                  <c:v>0.86</c:v>
                </c:pt>
                <c:pt idx="56">
                  <c:v>1.56</c:v>
                </c:pt>
                <c:pt idx="57">
                  <c:v>1.73</c:v>
                </c:pt>
                <c:pt idx="58">
                  <c:v>1.64</c:v>
                </c:pt>
                <c:pt idx="59" formatCode="General">
                  <c:v>1.49</c:v>
                </c:pt>
              </c:numCache>
            </c:numRef>
          </c:val>
          <c:smooth val="0"/>
          <c:extLst>
            <c:ext xmlns:c16="http://schemas.microsoft.com/office/drawing/2014/chart" uri="{C3380CC4-5D6E-409C-BE32-E72D297353CC}">
              <c16:uniqueId val="{00000005-179D-4CA4-BB04-7A413E8F13E5}"/>
            </c:ext>
          </c:extLst>
        </c:ser>
        <c:ser>
          <c:idx val="1"/>
          <c:order val="1"/>
          <c:tx>
            <c:strRef>
              <c:f>RESULTS!$C$3</c:f>
              <c:strCache>
                <c:ptCount val="1"/>
                <c:pt idx="0">
                  <c:v>Mean</c:v>
                </c:pt>
              </c:strCache>
            </c:strRef>
          </c:tx>
          <c:spPr>
            <a:ln w="28575" cap="rnd">
              <a:solidFill>
                <a:schemeClr val="tx1"/>
              </a:solidFill>
              <a:round/>
            </a:ln>
            <a:effectLst/>
          </c:spPr>
          <c:marker>
            <c:symbol val="none"/>
          </c:marker>
          <c:val>
            <c:numRef>
              <c:f>RESULTS!$C$4:$C$63</c:f>
              <c:numCache>
                <c:formatCode>0.00</c:formatCode>
                <c:ptCount val="60"/>
                <c:pt idx="0">
                  <c:v>1.1100000000000001</c:v>
                </c:pt>
                <c:pt idx="1">
                  <c:v>1.1100000000000001</c:v>
                </c:pt>
                <c:pt idx="2">
                  <c:v>1.1100000000000001</c:v>
                </c:pt>
                <c:pt idx="3">
                  <c:v>1.1100000000000001</c:v>
                </c:pt>
                <c:pt idx="4">
                  <c:v>1.1100000000000001</c:v>
                </c:pt>
                <c:pt idx="5">
                  <c:v>1.1100000000000001</c:v>
                </c:pt>
                <c:pt idx="6">
                  <c:v>1.1100000000000001</c:v>
                </c:pt>
                <c:pt idx="7">
                  <c:v>1.1100000000000001</c:v>
                </c:pt>
                <c:pt idx="8">
                  <c:v>1.1100000000000001</c:v>
                </c:pt>
                <c:pt idx="9">
                  <c:v>1.1100000000000001</c:v>
                </c:pt>
                <c:pt idx="10">
                  <c:v>1.1100000000000001</c:v>
                </c:pt>
                <c:pt idx="11">
                  <c:v>1.1100000000000001</c:v>
                </c:pt>
                <c:pt idx="12">
                  <c:v>1.1100000000000001</c:v>
                </c:pt>
                <c:pt idx="13">
                  <c:v>1.1100000000000001</c:v>
                </c:pt>
                <c:pt idx="14">
                  <c:v>1.1100000000000001</c:v>
                </c:pt>
                <c:pt idx="15">
                  <c:v>1.1100000000000001</c:v>
                </c:pt>
                <c:pt idx="16">
                  <c:v>1.1100000000000001</c:v>
                </c:pt>
                <c:pt idx="17">
                  <c:v>1.1100000000000001</c:v>
                </c:pt>
                <c:pt idx="18">
                  <c:v>1.1100000000000001</c:v>
                </c:pt>
                <c:pt idx="19">
                  <c:v>1.1100000000000001</c:v>
                </c:pt>
                <c:pt idx="20">
                  <c:v>1.1100000000000001</c:v>
                </c:pt>
                <c:pt idx="21">
                  <c:v>1.1100000000000001</c:v>
                </c:pt>
                <c:pt idx="22">
                  <c:v>1.1100000000000001</c:v>
                </c:pt>
                <c:pt idx="23">
                  <c:v>1.1100000000000001</c:v>
                </c:pt>
                <c:pt idx="24">
                  <c:v>1.1100000000000001</c:v>
                </c:pt>
                <c:pt idx="25">
                  <c:v>1.1100000000000001</c:v>
                </c:pt>
                <c:pt idx="26">
                  <c:v>1.1100000000000001</c:v>
                </c:pt>
                <c:pt idx="27">
                  <c:v>1.1100000000000001</c:v>
                </c:pt>
                <c:pt idx="28">
                  <c:v>1.1100000000000001</c:v>
                </c:pt>
                <c:pt idx="29">
                  <c:v>1.1100000000000001</c:v>
                </c:pt>
                <c:pt idx="30">
                  <c:v>1.1100000000000001</c:v>
                </c:pt>
                <c:pt idx="31">
                  <c:v>1.1100000000000001</c:v>
                </c:pt>
                <c:pt idx="32">
                  <c:v>1.1100000000000001</c:v>
                </c:pt>
                <c:pt idx="33">
                  <c:v>1.1100000000000001</c:v>
                </c:pt>
                <c:pt idx="34">
                  <c:v>1.1100000000000001</c:v>
                </c:pt>
                <c:pt idx="35">
                  <c:v>1.1100000000000001</c:v>
                </c:pt>
                <c:pt idx="36">
                  <c:v>1.1100000000000001</c:v>
                </c:pt>
                <c:pt idx="37">
                  <c:v>1.1100000000000001</c:v>
                </c:pt>
                <c:pt idx="38">
                  <c:v>1.1100000000000001</c:v>
                </c:pt>
                <c:pt idx="39">
                  <c:v>1.1100000000000001</c:v>
                </c:pt>
                <c:pt idx="40">
                  <c:v>1.1100000000000001</c:v>
                </c:pt>
                <c:pt idx="41">
                  <c:v>1.1100000000000001</c:v>
                </c:pt>
                <c:pt idx="42">
                  <c:v>1.1100000000000001</c:v>
                </c:pt>
                <c:pt idx="43">
                  <c:v>1.1100000000000001</c:v>
                </c:pt>
                <c:pt idx="44">
                  <c:v>1.1100000000000001</c:v>
                </c:pt>
                <c:pt idx="45">
                  <c:v>1.1100000000000001</c:v>
                </c:pt>
                <c:pt idx="46">
                  <c:v>1.1100000000000001</c:v>
                </c:pt>
                <c:pt idx="47">
                  <c:v>1.1100000000000001</c:v>
                </c:pt>
                <c:pt idx="48">
                  <c:v>1.1100000000000001</c:v>
                </c:pt>
                <c:pt idx="49">
                  <c:v>1.1100000000000001</c:v>
                </c:pt>
                <c:pt idx="50">
                  <c:v>1.1100000000000001</c:v>
                </c:pt>
                <c:pt idx="51">
                  <c:v>1.1100000000000001</c:v>
                </c:pt>
                <c:pt idx="52">
                  <c:v>1.1100000000000001</c:v>
                </c:pt>
                <c:pt idx="53">
                  <c:v>1.1100000000000001</c:v>
                </c:pt>
                <c:pt idx="54">
                  <c:v>1.1100000000000001</c:v>
                </c:pt>
                <c:pt idx="55">
                  <c:v>1.1100000000000001</c:v>
                </c:pt>
                <c:pt idx="56">
                  <c:v>1.1100000000000001</c:v>
                </c:pt>
                <c:pt idx="57">
                  <c:v>1.1100000000000001</c:v>
                </c:pt>
                <c:pt idx="58">
                  <c:v>1.1100000000000001</c:v>
                </c:pt>
                <c:pt idx="59">
                  <c:v>1.1100000000000001</c:v>
                </c:pt>
              </c:numCache>
            </c:numRef>
          </c:val>
          <c:smooth val="0"/>
          <c:extLst>
            <c:ext xmlns:c16="http://schemas.microsoft.com/office/drawing/2014/chart" uri="{C3380CC4-5D6E-409C-BE32-E72D297353CC}">
              <c16:uniqueId val="{00000007-179D-4CA4-BB04-7A413E8F13E5}"/>
            </c:ext>
          </c:extLst>
        </c:ser>
        <c:ser>
          <c:idx val="2"/>
          <c:order val="2"/>
          <c:tx>
            <c:strRef>
              <c:f>RESULTS!$D$3</c:f>
              <c:strCache>
                <c:ptCount val="1"/>
                <c:pt idx="0">
                  <c:v>UPL</c:v>
                </c:pt>
              </c:strCache>
            </c:strRef>
          </c:tx>
          <c:spPr>
            <a:ln w="28575" cap="rnd">
              <a:solidFill>
                <a:schemeClr val="accent2"/>
              </a:solidFill>
              <a:prstDash val="dash"/>
              <a:round/>
            </a:ln>
            <a:effectLst/>
          </c:spPr>
          <c:marker>
            <c:symbol val="none"/>
          </c:marker>
          <c:val>
            <c:numRef>
              <c:f>RESULTS!$D$4:$D$63</c:f>
              <c:numCache>
                <c:formatCode>0.00</c:formatCode>
                <c:ptCount val="60"/>
                <c:pt idx="0">
                  <c:v>2.2804000000000002</c:v>
                </c:pt>
                <c:pt idx="1">
                  <c:v>2.2804000000000002</c:v>
                </c:pt>
                <c:pt idx="2">
                  <c:v>2.2804000000000002</c:v>
                </c:pt>
                <c:pt idx="3">
                  <c:v>2.2804000000000002</c:v>
                </c:pt>
                <c:pt idx="4">
                  <c:v>2.2804000000000002</c:v>
                </c:pt>
                <c:pt idx="5">
                  <c:v>2.2804000000000002</c:v>
                </c:pt>
                <c:pt idx="6">
                  <c:v>2.2804000000000002</c:v>
                </c:pt>
                <c:pt idx="7">
                  <c:v>2.2804000000000002</c:v>
                </c:pt>
                <c:pt idx="8">
                  <c:v>2.2804000000000002</c:v>
                </c:pt>
                <c:pt idx="9">
                  <c:v>2.2804000000000002</c:v>
                </c:pt>
                <c:pt idx="10">
                  <c:v>2.2804000000000002</c:v>
                </c:pt>
                <c:pt idx="11">
                  <c:v>2.2804000000000002</c:v>
                </c:pt>
                <c:pt idx="12">
                  <c:v>2.2804000000000002</c:v>
                </c:pt>
                <c:pt idx="13">
                  <c:v>2.2804000000000002</c:v>
                </c:pt>
                <c:pt idx="14">
                  <c:v>2.2804000000000002</c:v>
                </c:pt>
                <c:pt idx="15">
                  <c:v>2.2804000000000002</c:v>
                </c:pt>
                <c:pt idx="16">
                  <c:v>2.2804000000000002</c:v>
                </c:pt>
                <c:pt idx="17">
                  <c:v>2.2804000000000002</c:v>
                </c:pt>
                <c:pt idx="18">
                  <c:v>2.2804000000000002</c:v>
                </c:pt>
                <c:pt idx="19">
                  <c:v>2.2804000000000002</c:v>
                </c:pt>
                <c:pt idx="20">
                  <c:v>2.2804000000000002</c:v>
                </c:pt>
                <c:pt idx="21">
                  <c:v>2.2804000000000002</c:v>
                </c:pt>
                <c:pt idx="22">
                  <c:v>2.2804000000000002</c:v>
                </c:pt>
                <c:pt idx="23">
                  <c:v>2.2804000000000002</c:v>
                </c:pt>
                <c:pt idx="24">
                  <c:v>2.2804000000000002</c:v>
                </c:pt>
                <c:pt idx="25">
                  <c:v>2.2804000000000002</c:v>
                </c:pt>
                <c:pt idx="26">
                  <c:v>2.2804000000000002</c:v>
                </c:pt>
                <c:pt idx="27">
                  <c:v>2.2804000000000002</c:v>
                </c:pt>
                <c:pt idx="28">
                  <c:v>2.2804000000000002</c:v>
                </c:pt>
                <c:pt idx="29">
                  <c:v>2.2804000000000002</c:v>
                </c:pt>
                <c:pt idx="30">
                  <c:v>2.2804000000000002</c:v>
                </c:pt>
                <c:pt idx="31">
                  <c:v>2.2804000000000002</c:v>
                </c:pt>
                <c:pt idx="32">
                  <c:v>2.2804000000000002</c:v>
                </c:pt>
                <c:pt idx="33">
                  <c:v>2.2804000000000002</c:v>
                </c:pt>
                <c:pt idx="34">
                  <c:v>2.2804000000000002</c:v>
                </c:pt>
                <c:pt idx="35">
                  <c:v>2.2804000000000002</c:v>
                </c:pt>
                <c:pt idx="36">
                  <c:v>2.2804000000000002</c:v>
                </c:pt>
                <c:pt idx="37">
                  <c:v>2.2804000000000002</c:v>
                </c:pt>
                <c:pt idx="38">
                  <c:v>2.2804000000000002</c:v>
                </c:pt>
                <c:pt idx="39">
                  <c:v>2.2804000000000002</c:v>
                </c:pt>
                <c:pt idx="40">
                  <c:v>2.2804000000000002</c:v>
                </c:pt>
                <c:pt idx="41">
                  <c:v>2.2804000000000002</c:v>
                </c:pt>
                <c:pt idx="42">
                  <c:v>2.2804000000000002</c:v>
                </c:pt>
                <c:pt idx="43">
                  <c:v>2.2804000000000002</c:v>
                </c:pt>
                <c:pt idx="44">
                  <c:v>2.2804000000000002</c:v>
                </c:pt>
                <c:pt idx="45">
                  <c:v>2.2804000000000002</c:v>
                </c:pt>
                <c:pt idx="46">
                  <c:v>2.2804000000000002</c:v>
                </c:pt>
                <c:pt idx="47">
                  <c:v>2.2804000000000002</c:v>
                </c:pt>
                <c:pt idx="48">
                  <c:v>2.2804000000000002</c:v>
                </c:pt>
                <c:pt idx="49">
                  <c:v>2.2804000000000002</c:v>
                </c:pt>
                <c:pt idx="50">
                  <c:v>2.2804000000000002</c:v>
                </c:pt>
                <c:pt idx="51">
                  <c:v>2.2804000000000002</c:v>
                </c:pt>
                <c:pt idx="52">
                  <c:v>2.2804000000000002</c:v>
                </c:pt>
                <c:pt idx="53">
                  <c:v>2.2804000000000002</c:v>
                </c:pt>
                <c:pt idx="54">
                  <c:v>2.2804000000000002</c:v>
                </c:pt>
                <c:pt idx="55">
                  <c:v>2.2804000000000002</c:v>
                </c:pt>
                <c:pt idx="56">
                  <c:v>2.2804000000000002</c:v>
                </c:pt>
                <c:pt idx="57">
                  <c:v>2.2804000000000002</c:v>
                </c:pt>
                <c:pt idx="58">
                  <c:v>2.2804000000000002</c:v>
                </c:pt>
                <c:pt idx="59">
                  <c:v>2.2804000000000002</c:v>
                </c:pt>
              </c:numCache>
            </c:numRef>
          </c:val>
          <c:smooth val="0"/>
          <c:extLst>
            <c:ext xmlns:c16="http://schemas.microsoft.com/office/drawing/2014/chart" uri="{C3380CC4-5D6E-409C-BE32-E72D297353CC}">
              <c16:uniqueId val="{00000009-179D-4CA4-BB04-7A413E8F13E5}"/>
            </c:ext>
          </c:extLst>
        </c:ser>
        <c:ser>
          <c:idx val="3"/>
          <c:order val="3"/>
          <c:tx>
            <c:strRef>
              <c:f>RESULTS!$E$3</c:f>
              <c:strCache>
                <c:ptCount val="1"/>
                <c:pt idx="0">
                  <c:v>LPL</c:v>
                </c:pt>
              </c:strCache>
            </c:strRef>
          </c:tx>
          <c:spPr>
            <a:ln w="28575" cap="rnd">
              <a:solidFill>
                <a:schemeClr val="accent2"/>
              </a:solidFill>
              <a:prstDash val="dash"/>
              <a:round/>
            </a:ln>
            <a:effectLst/>
          </c:spPr>
          <c:marker>
            <c:symbol val="none"/>
          </c:marker>
          <c:val>
            <c:numRef>
              <c:f>RESULTS!$E$4:$E$63</c:f>
              <c:numCache>
                <c:formatCode>General</c:formatCode>
                <c:ptCount val="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numCache>
            </c:numRef>
          </c:val>
          <c:smooth val="0"/>
          <c:extLst>
            <c:ext xmlns:c16="http://schemas.microsoft.com/office/drawing/2014/chart" uri="{C3380CC4-5D6E-409C-BE32-E72D297353CC}">
              <c16:uniqueId val="{0000000B-179D-4CA4-BB04-7A413E8F13E5}"/>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Individual Values (X)</a:t>
                </a:r>
              </a:p>
            </c:rich>
          </c:tx>
          <c:layout>
            <c:manualLayout>
              <c:xMode val="edge"/>
              <c:yMode val="edge"/>
              <c:x val="1.4627902724446883E-2"/>
              <c:y val="0.20719576719576718"/>
            </c:manualLayout>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RESULTS!$F$3</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RESULTS!$F$4:$F$63</c:f>
              <c:numCache>
                <c:formatCode>0.00</c:formatCode>
                <c:ptCount val="60"/>
                <c:pt idx="1">
                  <c:v>0.82</c:v>
                </c:pt>
                <c:pt idx="2">
                  <c:v>0.16000000000000003</c:v>
                </c:pt>
                <c:pt idx="3">
                  <c:v>8.9999999999999969E-2</c:v>
                </c:pt>
                <c:pt idx="4">
                  <c:v>0.87</c:v>
                </c:pt>
                <c:pt idx="5">
                  <c:v>0.6399999999999999</c:v>
                </c:pt>
                <c:pt idx="6">
                  <c:v>0.14000000000000012</c:v>
                </c:pt>
                <c:pt idx="7">
                  <c:v>0.74</c:v>
                </c:pt>
                <c:pt idx="8">
                  <c:v>0.96</c:v>
                </c:pt>
                <c:pt idx="9">
                  <c:v>5.0000000000000044E-2</c:v>
                </c:pt>
                <c:pt idx="10">
                  <c:v>0.61999999999999988</c:v>
                </c:pt>
                <c:pt idx="11">
                  <c:v>0.61999999999999988</c:v>
                </c:pt>
                <c:pt idx="12">
                  <c:v>4.9999999999999933E-2</c:v>
                </c:pt>
                <c:pt idx="13">
                  <c:v>6.9999999999999951E-2</c:v>
                </c:pt>
                <c:pt idx="14">
                  <c:v>0.45999999999999996</c:v>
                </c:pt>
                <c:pt idx="15">
                  <c:v>0.45999999999999996</c:v>
                </c:pt>
                <c:pt idx="16">
                  <c:v>0.19999999999999996</c:v>
                </c:pt>
                <c:pt idx="17">
                  <c:v>1.0000000000000009E-2</c:v>
                </c:pt>
                <c:pt idx="18">
                  <c:v>0.76</c:v>
                </c:pt>
                <c:pt idx="19">
                  <c:v>0.87</c:v>
                </c:pt>
                <c:pt idx="20">
                  <c:v>6.0000000000000053E-2</c:v>
                </c:pt>
                <c:pt idx="21">
                  <c:v>0.28999999999999992</c:v>
                </c:pt>
                <c:pt idx="22">
                  <c:v>2.0000000000000018E-2</c:v>
                </c:pt>
                <c:pt idx="23">
                  <c:v>2.0000000000000018E-2</c:v>
                </c:pt>
                <c:pt idx="24">
                  <c:v>1.26</c:v>
                </c:pt>
                <c:pt idx="25">
                  <c:v>1.0900000000000001</c:v>
                </c:pt>
                <c:pt idx="26">
                  <c:v>7.9999999999999849E-2</c:v>
                </c:pt>
                <c:pt idx="27">
                  <c:v>0.28999999999999992</c:v>
                </c:pt>
                <c:pt idx="28">
                  <c:v>0.24999999999999989</c:v>
                </c:pt>
                <c:pt idx="29">
                  <c:v>0.68000000000000016</c:v>
                </c:pt>
                <c:pt idx="30">
                  <c:v>0.64000000000000012</c:v>
                </c:pt>
                <c:pt idx="31">
                  <c:v>0.57000000000000006</c:v>
                </c:pt>
                <c:pt idx="32">
                  <c:v>0.92999999999999994</c:v>
                </c:pt>
                <c:pt idx="33">
                  <c:v>0.47</c:v>
                </c:pt>
                <c:pt idx="34">
                  <c:v>1.28</c:v>
                </c:pt>
                <c:pt idx="35">
                  <c:v>1.1100000000000001</c:v>
                </c:pt>
                <c:pt idx="36">
                  <c:v>5.9999999999999831E-2</c:v>
                </c:pt>
                <c:pt idx="37">
                  <c:v>5.0000000000000044E-2</c:v>
                </c:pt>
                <c:pt idx="38">
                  <c:v>4.0000000000000036E-2</c:v>
                </c:pt>
                <c:pt idx="39">
                  <c:v>0.25</c:v>
                </c:pt>
                <c:pt idx="40">
                  <c:v>1.61</c:v>
                </c:pt>
                <c:pt idx="41">
                  <c:v>1.1800000000000002</c:v>
                </c:pt>
                <c:pt idx="42">
                  <c:v>0.19999999999999996</c:v>
                </c:pt>
                <c:pt idx="43">
                  <c:v>0.18999999999999995</c:v>
                </c:pt>
                <c:pt idx="44">
                  <c:v>3.0000000000000027E-2</c:v>
                </c:pt>
                <c:pt idx="45">
                  <c:v>3.0000000000000027E-2</c:v>
                </c:pt>
                <c:pt idx="46">
                  <c:v>8.9999999999999969E-2</c:v>
                </c:pt>
                <c:pt idx="47">
                  <c:v>0.9</c:v>
                </c:pt>
                <c:pt idx="48">
                  <c:v>1.1200000000000001</c:v>
                </c:pt>
                <c:pt idx="49">
                  <c:v>0.10999999999999988</c:v>
                </c:pt>
                <c:pt idx="50">
                  <c:v>5.0000000000000044E-2</c:v>
                </c:pt>
                <c:pt idx="51">
                  <c:v>0.24</c:v>
                </c:pt>
                <c:pt idx="52">
                  <c:v>4.0000000000000036E-2</c:v>
                </c:pt>
                <c:pt idx="53">
                  <c:v>0.60999999999999988</c:v>
                </c:pt>
                <c:pt idx="54">
                  <c:v>0.19999999999999996</c:v>
                </c:pt>
                <c:pt idx="55">
                  <c:v>0.10999999999999999</c:v>
                </c:pt>
                <c:pt idx="56">
                  <c:v>0.70000000000000007</c:v>
                </c:pt>
                <c:pt idx="57">
                  <c:v>0.16999999999999993</c:v>
                </c:pt>
                <c:pt idx="58">
                  <c:v>9.000000000000008E-2</c:v>
                </c:pt>
                <c:pt idx="59">
                  <c:v>0.14999999999999991</c:v>
                </c:pt>
              </c:numCache>
            </c:numRef>
          </c:val>
          <c:smooth val="0"/>
          <c:extLst>
            <c:ext xmlns:c16="http://schemas.microsoft.com/office/drawing/2014/chart" uri="{C3380CC4-5D6E-409C-BE32-E72D297353CC}">
              <c16:uniqueId val="{00000004-1DFD-4827-943D-628E6153BE75}"/>
            </c:ext>
          </c:extLst>
        </c:ser>
        <c:ser>
          <c:idx val="1"/>
          <c:order val="1"/>
          <c:tx>
            <c:strRef>
              <c:f>RESULTS!$G$3</c:f>
              <c:strCache>
                <c:ptCount val="1"/>
                <c:pt idx="0">
                  <c:v>Ave. mR2</c:v>
                </c:pt>
              </c:strCache>
            </c:strRef>
          </c:tx>
          <c:spPr>
            <a:ln w="28575" cap="rnd">
              <a:solidFill>
                <a:schemeClr val="tx1"/>
              </a:solidFill>
              <a:round/>
            </a:ln>
            <a:effectLst/>
          </c:spPr>
          <c:marker>
            <c:symbol val="none"/>
          </c:marker>
          <c:val>
            <c:numRef>
              <c:f>RESULTS!$G$4:$G$63</c:f>
              <c:numCache>
                <c:formatCode>0.00</c:formatCode>
                <c:ptCount val="60"/>
                <c:pt idx="0">
                  <c:v>0.44</c:v>
                </c:pt>
                <c:pt idx="1">
                  <c:v>0.44</c:v>
                </c:pt>
                <c:pt idx="2">
                  <c:v>0.44</c:v>
                </c:pt>
                <c:pt idx="3">
                  <c:v>0.44</c:v>
                </c:pt>
                <c:pt idx="4">
                  <c:v>0.44</c:v>
                </c:pt>
                <c:pt idx="5">
                  <c:v>0.44</c:v>
                </c:pt>
                <c:pt idx="6">
                  <c:v>0.44</c:v>
                </c:pt>
                <c:pt idx="7">
                  <c:v>0.44</c:v>
                </c:pt>
                <c:pt idx="8">
                  <c:v>0.44</c:v>
                </c:pt>
                <c:pt idx="9">
                  <c:v>0.44</c:v>
                </c:pt>
                <c:pt idx="10">
                  <c:v>0.44</c:v>
                </c:pt>
                <c:pt idx="11">
                  <c:v>0.44</c:v>
                </c:pt>
                <c:pt idx="12">
                  <c:v>0.44</c:v>
                </c:pt>
                <c:pt idx="13">
                  <c:v>0.44</c:v>
                </c:pt>
                <c:pt idx="14">
                  <c:v>0.44</c:v>
                </c:pt>
                <c:pt idx="15">
                  <c:v>0.44</c:v>
                </c:pt>
                <c:pt idx="16">
                  <c:v>0.44</c:v>
                </c:pt>
                <c:pt idx="17">
                  <c:v>0.44</c:v>
                </c:pt>
                <c:pt idx="18">
                  <c:v>0.44</c:v>
                </c:pt>
                <c:pt idx="19">
                  <c:v>0.44</c:v>
                </c:pt>
                <c:pt idx="20">
                  <c:v>0.44</c:v>
                </c:pt>
                <c:pt idx="21">
                  <c:v>0.44</c:v>
                </c:pt>
                <c:pt idx="22">
                  <c:v>0.44</c:v>
                </c:pt>
                <c:pt idx="23">
                  <c:v>0.44</c:v>
                </c:pt>
                <c:pt idx="24">
                  <c:v>0.44</c:v>
                </c:pt>
                <c:pt idx="25">
                  <c:v>0.44</c:v>
                </c:pt>
                <c:pt idx="26">
                  <c:v>0.44</c:v>
                </c:pt>
                <c:pt idx="27">
                  <c:v>0.44</c:v>
                </c:pt>
                <c:pt idx="28">
                  <c:v>0.44</c:v>
                </c:pt>
                <c:pt idx="29">
                  <c:v>0.44</c:v>
                </c:pt>
                <c:pt idx="30">
                  <c:v>0.44</c:v>
                </c:pt>
                <c:pt idx="31">
                  <c:v>0.44</c:v>
                </c:pt>
                <c:pt idx="32">
                  <c:v>0.44</c:v>
                </c:pt>
                <c:pt idx="33">
                  <c:v>0.44</c:v>
                </c:pt>
                <c:pt idx="34">
                  <c:v>0.44</c:v>
                </c:pt>
                <c:pt idx="35">
                  <c:v>0.44</c:v>
                </c:pt>
                <c:pt idx="36">
                  <c:v>0.44</c:v>
                </c:pt>
                <c:pt idx="37">
                  <c:v>0.44</c:v>
                </c:pt>
                <c:pt idx="38">
                  <c:v>0.44</c:v>
                </c:pt>
                <c:pt idx="39">
                  <c:v>0.44</c:v>
                </c:pt>
                <c:pt idx="40">
                  <c:v>0.44</c:v>
                </c:pt>
                <c:pt idx="41">
                  <c:v>0.44</c:v>
                </c:pt>
                <c:pt idx="42">
                  <c:v>0.44</c:v>
                </c:pt>
                <c:pt idx="43">
                  <c:v>0.44</c:v>
                </c:pt>
                <c:pt idx="44">
                  <c:v>0.44</c:v>
                </c:pt>
                <c:pt idx="45">
                  <c:v>0.44</c:v>
                </c:pt>
                <c:pt idx="46">
                  <c:v>0.44</c:v>
                </c:pt>
                <c:pt idx="47">
                  <c:v>0.44</c:v>
                </c:pt>
                <c:pt idx="48">
                  <c:v>0.44</c:v>
                </c:pt>
                <c:pt idx="49">
                  <c:v>0.44</c:v>
                </c:pt>
                <c:pt idx="50">
                  <c:v>0.44</c:v>
                </c:pt>
                <c:pt idx="51">
                  <c:v>0.44</c:v>
                </c:pt>
                <c:pt idx="52">
                  <c:v>0.44</c:v>
                </c:pt>
                <c:pt idx="53">
                  <c:v>0.44</c:v>
                </c:pt>
                <c:pt idx="54">
                  <c:v>0.44</c:v>
                </c:pt>
                <c:pt idx="55">
                  <c:v>0.44</c:v>
                </c:pt>
                <c:pt idx="56">
                  <c:v>0.44</c:v>
                </c:pt>
                <c:pt idx="57">
                  <c:v>0.44</c:v>
                </c:pt>
                <c:pt idx="58">
                  <c:v>0.44</c:v>
                </c:pt>
                <c:pt idx="59">
                  <c:v>0.44</c:v>
                </c:pt>
              </c:numCache>
            </c:numRef>
          </c:val>
          <c:smooth val="0"/>
          <c:extLst>
            <c:ext xmlns:c16="http://schemas.microsoft.com/office/drawing/2014/chart" uri="{C3380CC4-5D6E-409C-BE32-E72D297353CC}">
              <c16:uniqueId val="{00000006-1DFD-4827-943D-628E6153BE75}"/>
            </c:ext>
          </c:extLst>
        </c:ser>
        <c:ser>
          <c:idx val="2"/>
          <c:order val="2"/>
          <c:tx>
            <c:strRef>
              <c:f>RESULTS!$H$3</c:f>
              <c:strCache>
                <c:ptCount val="1"/>
                <c:pt idx="0">
                  <c:v>URL</c:v>
                </c:pt>
              </c:strCache>
            </c:strRef>
          </c:tx>
          <c:spPr>
            <a:ln w="28575" cap="rnd">
              <a:solidFill>
                <a:schemeClr val="accent2"/>
              </a:solidFill>
              <a:prstDash val="dash"/>
              <a:round/>
            </a:ln>
            <a:effectLst/>
          </c:spPr>
          <c:marker>
            <c:symbol val="none"/>
          </c:marker>
          <c:val>
            <c:numRef>
              <c:f>RESULTS!$H$4:$H$63</c:f>
              <c:numCache>
                <c:formatCode>0.00</c:formatCode>
                <c:ptCount val="60"/>
                <c:pt idx="0">
                  <c:v>1.44</c:v>
                </c:pt>
                <c:pt idx="1">
                  <c:v>1.4379199999999999</c:v>
                </c:pt>
                <c:pt idx="2">
                  <c:v>1.4379199999999999</c:v>
                </c:pt>
                <c:pt idx="3">
                  <c:v>1.4379199999999999</c:v>
                </c:pt>
                <c:pt idx="4">
                  <c:v>1.4379199999999999</c:v>
                </c:pt>
                <c:pt idx="5">
                  <c:v>1.4379199999999999</c:v>
                </c:pt>
                <c:pt idx="6">
                  <c:v>1.4379199999999999</c:v>
                </c:pt>
                <c:pt idx="7">
                  <c:v>1.4379199999999999</c:v>
                </c:pt>
                <c:pt idx="8">
                  <c:v>1.4379199999999999</c:v>
                </c:pt>
                <c:pt idx="9">
                  <c:v>1.4379199999999999</c:v>
                </c:pt>
                <c:pt idx="10">
                  <c:v>1.4379199999999999</c:v>
                </c:pt>
                <c:pt idx="11">
                  <c:v>1.4379199999999999</c:v>
                </c:pt>
                <c:pt idx="12">
                  <c:v>1.4379199999999999</c:v>
                </c:pt>
                <c:pt idx="13">
                  <c:v>1.4379199999999999</c:v>
                </c:pt>
                <c:pt idx="14">
                  <c:v>1.4379199999999999</c:v>
                </c:pt>
                <c:pt idx="15">
                  <c:v>1.4379199999999999</c:v>
                </c:pt>
                <c:pt idx="16">
                  <c:v>1.4379199999999999</c:v>
                </c:pt>
                <c:pt idx="17">
                  <c:v>1.4379199999999999</c:v>
                </c:pt>
                <c:pt idx="18">
                  <c:v>1.4379199999999999</c:v>
                </c:pt>
                <c:pt idx="19">
                  <c:v>1.4379199999999999</c:v>
                </c:pt>
                <c:pt idx="20">
                  <c:v>1.4379199999999999</c:v>
                </c:pt>
                <c:pt idx="21">
                  <c:v>1.4379199999999999</c:v>
                </c:pt>
                <c:pt idx="22">
                  <c:v>1.4379199999999999</c:v>
                </c:pt>
                <c:pt idx="23">
                  <c:v>1.4379199999999999</c:v>
                </c:pt>
                <c:pt idx="24">
                  <c:v>1.4379199999999999</c:v>
                </c:pt>
                <c:pt idx="25">
                  <c:v>1.4379199999999999</c:v>
                </c:pt>
                <c:pt idx="26">
                  <c:v>1.4379199999999999</c:v>
                </c:pt>
                <c:pt idx="27">
                  <c:v>1.4379199999999999</c:v>
                </c:pt>
                <c:pt idx="28">
                  <c:v>1.4379199999999999</c:v>
                </c:pt>
                <c:pt idx="29">
                  <c:v>1.4379199999999999</c:v>
                </c:pt>
                <c:pt idx="30">
                  <c:v>1.4379199999999999</c:v>
                </c:pt>
                <c:pt idx="31">
                  <c:v>1.4379199999999999</c:v>
                </c:pt>
                <c:pt idx="32">
                  <c:v>1.4379199999999999</c:v>
                </c:pt>
                <c:pt idx="33">
                  <c:v>1.4379199999999999</c:v>
                </c:pt>
                <c:pt idx="34">
                  <c:v>1.4379199999999999</c:v>
                </c:pt>
                <c:pt idx="35">
                  <c:v>1.4379199999999999</c:v>
                </c:pt>
                <c:pt idx="36">
                  <c:v>1.4379199999999999</c:v>
                </c:pt>
                <c:pt idx="37">
                  <c:v>1.4379199999999999</c:v>
                </c:pt>
                <c:pt idx="38">
                  <c:v>1.4379199999999999</c:v>
                </c:pt>
                <c:pt idx="39">
                  <c:v>1.4379199999999999</c:v>
                </c:pt>
                <c:pt idx="40">
                  <c:v>1.4379199999999999</c:v>
                </c:pt>
                <c:pt idx="41">
                  <c:v>1.4379199999999999</c:v>
                </c:pt>
                <c:pt idx="42">
                  <c:v>1.4379199999999999</c:v>
                </c:pt>
                <c:pt idx="43">
                  <c:v>1.4379199999999999</c:v>
                </c:pt>
                <c:pt idx="44">
                  <c:v>1.4379199999999999</c:v>
                </c:pt>
                <c:pt idx="45">
                  <c:v>1.4379199999999999</c:v>
                </c:pt>
                <c:pt idx="46">
                  <c:v>1.4379199999999999</c:v>
                </c:pt>
                <c:pt idx="47">
                  <c:v>1.4379199999999999</c:v>
                </c:pt>
                <c:pt idx="48">
                  <c:v>1.4379199999999999</c:v>
                </c:pt>
                <c:pt idx="49">
                  <c:v>1.4379199999999999</c:v>
                </c:pt>
                <c:pt idx="50">
                  <c:v>1.4379199999999999</c:v>
                </c:pt>
                <c:pt idx="51">
                  <c:v>1.4379199999999999</c:v>
                </c:pt>
                <c:pt idx="52">
                  <c:v>1.4379199999999999</c:v>
                </c:pt>
                <c:pt idx="53">
                  <c:v>1.4379199999999999</c:v>
                </c:pt>
                <c:pt idx="54">
                  <c:v>1.4379199999999999</c:v>
                </c:pt>
                <c:pt idx="55">
                  <c:v>1.4379199999999999</c:v>
                </c:pt>
                <c:pt idx="56">
                  <c:v>1.4379199999999999</c:v>
                </c:pt>
                <c:pt idx="57">
                  <c:v>1.4379199999999999</c:v>
                </c:pt>
                <c:pt idx="58">
                  <c:v>1.4379199999999999</c:v>
                </c:pt>
                <c:pt idx="59">
                  <c:v>1.4379199999999999</c:v>
                </c:pt>
              </c:numCache>
            </c:numRef>
          </c:val>
          <c:smooth val="0"/>
          <c:extLst>
            <c:ext xmlns:c16="http://schemas.microsoft.com/office/drawing/2014/chart" uri="{C3380CC4-5D6E-409C-BE32-E72D297353CC}">
              <c16:uniqueId val="{00000008-1DFD-4827-943D-628E6153BE75}"/>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8</xdr:col>
      <xdr:colOff>1</xdr:colOff>
      <xdr:row>7</xdr:row>
      <xdr:rowOff>1373</xdr:rowOff>
    </xdr:to>
    <xdr:pic>
      <xdr:nvPicPr>
        <xdr:cNvPr id="6" name="Picture 5">
          <a:extLst>
            <a:ext uri="{FF2B5EF4-FFF2-40B4-BE49-F238E27FC236}">
              <a16:creationId xmlns:a16="http://schemas.microsoft.com/office/drawing/2014/main" id="{56B84C3A-D2C3-BC2A-33C3-884DD8C1D1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1"/>
          <a:ext cx="6949440" cy="1334872"/>
        </a:xfrm>
        <a:prstGeom prst="rect">
          <a:avLst/>
        </a:prstGeom>
      </xdr:spPr>
    </xdr:pic>
    <xdr:clientData/>
  </xdr:twoCellAnchor>
  <xdr:twoCellAnchor editAs="oneCell">
    <xdr:from>
      <xdr:col>0</xdr:col>
      <xdr:colOff>0</xdr:colOff>
      <xdr:row>39</xdr:row>
      <xdr:rowOff>202258</xdr:rowOff>
    </xdr:from>
    <xdr:to>
      <xdr:col>8</xdr:col>
      <xdr:colOff>0</xdr:colOff>
      <xdr:row>53</xdr:row>
      <xdr:rowOff>0</xdr:rowOff>
    </xdr:to>
    <xdr:pic>
      <xdr:nvPicPr>
        <xdr:cNvPr id="8" name="Picture 7">
          <a:extLst>
            <a:ext uri="{FF2B5EF4-FFF2-40B4-BE49-F238E27FC236}">
              <a16:creationId xmlns:a16="http://schemas.microsoft.com/office/drawing/2014/main" id="{9C687D8C-6C87-776B-41D9-B1DE90D5D8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7273618"/>
          <a:ext cx="6949440" cy="22361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15</xdr:row>
      <xdr:rowOff>0</xdr:rowOff>
    </xdr:from>
    <xdr:to>
      <xdr:col>17</xdr:col>
      <xdr:colOff>13335</xdr:colOff>
      <xdr:row>27</xdr:row>
      <xdr:rowOff>0</xdr:rowOff>
    </xdr:to>
    <xdr:graphicFrame macro="">
      <xdr:nvGraphicFramePr>
        <xdr:cNvPr id="2" name="Chart 1">
          <a:extLst>
            <a:ext uri="{FF2B5EF4-FFF2-40B4-BE49-F238E27FC236}">
              <a16:creationId xmlns:a16="http://schemas.microsoft.com/office/drawing/2014/main" id="{65D562BC-8A14-82BE-EF4F-90ED6EBFD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27</xdr:row>
      <xdr:rowOff>0</xdr:rowOff>
    </xdr:from>
    <xdr:to>
      <xdr:col>17</xdr:col>
      <xdr:colOff>0</xdr:colOff>
      <xdr:row>38</xdr:row>
      <xdr:rowOff>64770</xdr:rowOff>
    </xdr:to>
    <xdr:graphicFrame macro="">
      <xdr:nvGraphicFramePr>
        <xdr:cNvPr id="3" name="Chart 2">
          <a:extLst>
            <a:ext uri="{FF2B5EF4-FFF2-40B4-BE49-F238E27FC236}">
              <a16:creationId xmlns:a16="http://schemas.microsoft.com/office/drawing/2014/main" id="{0E5C770B-1966-7BC1-977C-5276E2392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H63" headerRowDxfId="22">
  <tableColumns count="8">
    <tableColumn id="1" xr3:uid="{00000000-0010-0000-0000-000001000000}" name="Sample"/>
    <tableColumn id="2" xr3:uid="{00000000-0010-0000-0000-000002000000}" name="Value"/>
    <tableColumn id="3" xr3:uid="{00000000-0010-0000-0000-000003000000}" name="Mean"/>
    <tableColumn id="4" xr3:uid="{00000000-0010-0000-0000-000004000000}" name="UPL"/>
    <tableColumn id="5" xr3:uid="{00000000-0010-0000-0000-000005000000}" name="LPL"/>
    <tableColumn id="6" xr3:uid="{00000000-0010-0000-0000-000006000000}" name="mR"/>
    <tableColumn id="7" xr3:uid="{00000000-0010-0000-0000-000007000000}" name="Ave. mR"/>
    <tableColumn id="8" xr3:uid="{00000000-0010-0000-0000-000008000000}" name="URL"/>
  </tableColumns>
  <tableStyleInfo name="Step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3:H63" headerRowDxfId="21">
  <tableColumns count="8">
    <tableColumn id="1" xr3:uid="{00000000-0010-0000-0100-000001000000}" name="Sample" dataDxfId="20"/>
    <tableColumn id="2" xr3:uid="{00000000-0010-0000-0100-000002000000}" name="Value"/>
    <tableColumn id="3" xr3:uid="{00000000-0010-0000-0100-000003000000}" name="Mean"/>
    <tableColumn id="4" xr3:uid="{00000000-0010-0000-0100-000004000000}" name="UPL"/>
    <tableColumn id="5" xr3:uid="{00000000-0010-0000-0100-000005000000}" name="LPL"/>
    <tableColumn id="6" xr3:uid="{00000000-0010-0000-0100-000006000000}" name="mR"/>
    <tableColumn id="7" xr3:uid="{00000000-0010-0000-0100-000007000000}" name="Ave. mR"/>
    <tableColumn id="8" xr3:uid="{00000000-0010-0000-0100-000008000000}" name="URL"/>
  </tableColumns>
  <tableStyleInfo name="Step 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H63">
  <tableColumns count="8">
    <tableColumn id="1" xr3:uid="{00000000-0010-0000-0200-000001000000}" name="Sample" dataDxfId="19"/>
    <tableColumn id="2" xr3:uid="{00000000-0010-0000-0200-000002000000}" name="Value"/>
    <tableColumn id="3" xr3:uid="{00000000-0010-0000-0200-000003000000}" name="Mean"/>
    <tableColumn id="4" xr3:uid="{00000000-0010-0000-0200-000004000000}" name="UPL"/>
    <tableColumn id="5" xr3:uid="{00000000-0010-0000-0200-000005000000}" name="LPL"/>
    <tableColumn id="6" xr3:uid="{00000000-0010-0000-0200-000006000000}" name="mR"/>
    <tableColumn id="7" xr3:uid="{00000000-0010-0000-0200-000007000000}" name="Ave. mR"/>
    <tableColumn id="8" xr3:uid="{00000000-0010-0000-0200-000008000000}" name="URL"/>
  </tableColumns>
  <tableStyleInfo name="Step 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3:H63" headerRowDxfId="18">
  <tableColumns count="8">
    <tableColumn id="1" xr3:uid="{00000000-0010-0000-0300-000001000000}" name="Sample" dataDxfId="17"/>
    <tableColumn id="2" xr3:uid="{00000000-0010-0000-0300-000002000000}" name="Value"/>
    <tableColumn id="3" xr3:uid="{00000000-0010-0000-0300-000003000000}" name="Mean"/>
    <tableColumn id="4" xr3:uid="{00000000-0010-0000-0300-000004000000}" name="UPL"/>
    <tableColumn id="5" xr3:uid="{00000000-0010-0000-0300-000005000000}" name="LPL"/>
    <tableColumn id="6" xr3:uid="{00000000-0010-0000-0300-000006000000}" name="mR"/>
    <tableColumn id="7" xr3:uid="{00000000-0010-0000-0300-000007000000}" name="Ave. mR"/>
    <tableColumn id="8" xr3:uid="{00000000-0010-0000-0300-000008000000}" name="URL"/>
  </tableColumns>
  <tableStyleInfo name="Step 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3:H63">
  <tableColumns count="8">
    <tableColumn id="1" xr3:uid="{00000000-0010-0000-0400-000001000000}" name="Sample" dataDxfId="16"/>
    <tableColumn id="2" xr3:uid="{00000000-0010-0000-0400-000002000000}" name="Value"/>
    <tableColumn id="3" xr3:uid="{00000000-0010-0000-0400-000003000000}" name="Mean"/>
    <tableColumn id="4" xr3:uid="{00000000-0010-0000-0400-000004000000}" name="UPL"/>
    <tableColumn id="5" xr3:uid="{00000000-0010-0000-0400-000005000000}" name="LPL"/>
    <tableColumn id="6" xr3:uid="{00000000-0010-0000-0400-000006000000}" name="mR"/>
    <tableColumn id="7" xr3:uid="{00000000-0010-0000-0400-000007000000}" name="Ave. mR"/>
    <tableColumn id="8" xr3:uid="{00000000-0010-0000-0400-000008000000}" name="URL"/>
  </tableColumns>
  <tableStyleInfo name="Step 5-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H63" headerRowDxfId="15">
  <tableColumns count="8">
    <tableColumn id="1" xr3:uid="{00000000-0010-0000-0500-000001000000}" name="Sample" dataDxfId="14"/>
    <tableColumn id="2" xr3:uid="{00000000-0010-0000-0500-000002000000}" name="Value"/>
    <tableColumn id="3" xr3:uid="{00000000-0010-0000-0500-000003000000}" name="Mean"/>
    <tableColumn id="4" xr3:uid="{00000000-0010-0000-0500-000004000000}" name="UPL"/>
    <tableColumn id="5" xr3:uid="{00000000-0010-0000-0500-000005000000}" name="LPL"/>
    <tableColumn id="6" xr3:uid="{00000000-0010-0000-0500-000006000000}" name="mR"/>
    <tableColumn id="7" xr3:uid="{00000000-0010-0000-0500-000007000000}" name="Ave. mR"/>
    <tableColumn id="8" xr3:uid="{00000000-0010-0000-0500-000008000000}" name="URL"/>
  </tableColumns>
  <tableStyleInfo name="Step 6-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3:H63" headerRowDxfId="13">
  <tableColumns count="8">
    <tableColumn id="1" xr3:uid="{00000000-0010-0000-0600-000001000000}" name="Sample" dataDxfId="12"/>
    <tableColumn id="2" xr3:uid="{00000000-0010-0000-0600-000002000000}" name="Value"/>
    <tableColumn id="3" xr3:uid="{00000000-0010-0000-0600-000003000000}" name="Mean"/>
    <tableColumn id="4" xr3:uid="{00000000-0010-0000-0600-000004000000}" name="UPL"/>
    <tableColumn id="5" xr3:uid="{00000000-0010-0000-0600-000005000000}" name="LPL"/>
    <tableColumn id="6" xr3:uid="{00000000-0010-0000-0600-000006000000}" name="mR"/>
    <tableColumn id="7" xr3:uid="{00000000-0010-0000-0600-000007000000}" name="Ave. mR2"/>
    <tableColumn id="8" xr3:uid="{00000000-0010-0000-0600-000008000000}" name="URL"/>
  </tableColumns>
  <tableStyleInfo name="RESUL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brokenquality.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53"/>
  <sheetViews>
    <sheetView showGridLines="0" tabSelected="1" workbookViewId="0">
      <selection activeCell="M47" sqref="M47"/>
    </sheetView>
  </sheetViews>
  <sheetFormatPr defaultColWidth="12.6640625" defaultRowHeight="15" customHeight="1" x14ac:dyDescent="0.25"/>
  <cols>
    <col min="9" max="9" width="3.21875" customWidth="1"/>
  </cols>
  <sheetData>
    <row r="1" spans="1:8" ht="15" customHeight="1" x14ac:dyDescent="0.25">
      <c r="A1" s="58"/>
      <c r="B1" s="53"/>
      <c r="C1" s="53"/>
      <c r="D1" s="53"/>
      <c r="E1" s="53"/>
      <c r="F1" s="53"/>
      <c r="G1" s="53"/>
      <c r="H1" s="54"/>
    </row>
    <row r="2" spans="1:8" ht="15" customHeight="1" x14ac:dyDescent="0.25">
      <c r="A2" s="55"/>
      <c r="H2" s="56"/>
    </row>
    <row r="3" spans="1:8" ht="15" customHeight="1" x14ac:dyDescent="0.25">
      <c r="A3" s="55"/>
      <c r="H3" s="56"/>
    </row>
    <row r="4" spans="1:8" ht="15" customHeight="1" x14ac:dyDescent="0.25">
      <c r="A4" s="55"/>
      <c r="H4" s="56"/>
    </row>
    <row r="5" spans="1:8" ht="15" customHeight="1" x14ac:dyDescent="0.25">
      <c r="A5" s="55"/>
      <c r="H5" s="56"/>
    </row>
    <row r="6" spans="1:8" ht="15" customHeight="1" x14ac:dyDescent="0.25">
      <c r="A6" s="55"/>
      <c r="H6" s="56"/>
    </row>
    <row r="7" spans="1:8" ht="15" customHeight="1" x14ac:dyDescent="0.25">
      <c r="A7" s="55"/>
      <c r="H7" s="56"/>
    </row>
    <row r="8" spans="1:8" ht="24.6" x14ac:dyDescent="0.55000000000000004">
      <c r="A8" s="108" t="s">
        <v>0</v>
      </c>
      <c r="B8" s="109"/>
      <c r="C8" s="109"/>
      <c r="D8" s="109"/>
      <c r="E8" s="109"/>
      <c r="F8" s="109"/>
      <c r="G8" s="109"/>
      <c r="H8" s="110"/>
    </row>
    <row r="9" spans="1:8" ht="13.2" customHeight="1" x14ac:dyDescent="0.25">
      <c r="A9" s="61" t="s">
        <v>24</v>
      </c>
      <c r="B9" s="62"/>
      <c r="C9" s="62"/>
      <c r="D9" s="62"/>
      <c r="E9" s="62"/>
      <c r="F9" s="62"/>
      <c r="G9" s="62"/>
      <c r="H9" s="63"/>
    </row>
    <row r="10" spans="1:8" ht="13.2" customHeight="1" x14ac:dyDescent="0.25">
      <c r="A10" s="64"/>
      <c r="B10" s="107"/>
      <c r="C10" s="107"/>
      <c r="D10" s="107"/>
      <c r="E10" s="107"/>
      <c r="F10" s="107"/>
      <c r="G10" s="107"/>
      <c r="H10" s="65"/>
    </row>
    <row r="11" spans="1:8" ht="13.2" customHeight="1" x14ac:dyDescent="0.25">
      <c r="A11" s="64"/>
      <c r="B11" s="107"/>
      <c r="C11" s="107"/>
      <c r="D11" s="107"/>
      <c r="E11" s="107"/>
      <c r="F11" s="107"/>
      <c r="G11" s="107"/>
      <c r="H11" s="65"/>
    </row>
    <row r="12" spans="1:8" ht="13.2" customHeight="1" x14ac:dyDescent="0.25">
      <c r="A12" s="64"/>
      <c r="B12" s="107"/>
      <c r="C12" s="107"/>
      <c r="D12" s="107"/>
      <c r="E12" s="107"/>
      <c r="F12" s="107"/>
      <c r="G12" s="107"/>
      <c r="H12" s="65"/>
    </row>
    <row r="13" spans="1:8" ht="13.2" customHeight="1" x14ac:dyDescent="0.25">
      <c r="A13" s="64"/>
      <c r="B13" s="107"/>
      <c r="C13" s="107"/>
      <c r="D13" s="107"/>
      <c r="E13" s="107"/>
      <c r="F13" s="107"/>
      <c r="G13" s="107"/>
      <c r="H13" s="65"/>
    </row>
    <row r="14" spans="1:8" ht="13.2" customHeight="1" x14ac:dyDescent="0.25">
      <c r="A14" s="64"/>
      <c r="B14" s="107"/>
      <c r="C14" s="107"/>
      <c r="D14" s="107"/>
      <c r="E14" s="107"/>
      <c r="F14" s="107"/>
      <c r="G14" s="107"/>
      <c r="H14" s="65"/>
    </row>
    <row r="15" spans="1:8" ht="13.2" customHeight="1" x14ac:dyDescent="0.25">
      <c r="A15" s="64"/>
      <c r="B15" s="107"/>
      <c r="C15" s="107"/>
      <c r="D15" s="107"/>
      <c r="E15" s="107"/>
      <c r="F15" s="107"/>
      <c r="G15" s="107"/>
      <c r="H15" s="65"/>
    </row>
    <row r="16" spans="1:8" ht="13.2" customHeight="1" x14ac:dyDescent="0.25">
      <c r="A16" s="64"/>
      <c r="B16" s="107"/>
      <c r="C16" s="107"/>
      <c r="D16" s="107"/>
      <c r="E16" s="107"/>
      <c r="F16" s="107"/>
      <c r="G16" s="107"/>
      <c r="H16" s="65"/>
    </row>
    <row r="17" spans="1:8" ht="13.2" customHeight="1" x14ac:dyDescent="0.25">
      <c r="A17" s="64"/>
      <c r="B17" s="107"/>
      <c r="C17" s="107"/>
      <c r="D17" s="107"/>
      <c r="E17" s="107"/>
      <c r="F17" s="107"/>
      <c r="G17" s="107"/>
      <c r="H17" s="65"/>
    </row>
    <row r="18" spans="1:8" ht="13.2" customHeight="1" x14ac:dyDescent="0.25">
      <c r="A18" s="64"/>
      <c r="B18" s="107"/>
      <c r="C18" s="107"/>
      <c r="D18" s="107"/>
      <c r="E18" s="107"/>
      <c r="F18" s="107"/>
      <c r="G18" s="107"/>
      <c r="H18" s="65"/>
    </row>
    <row r="19" spans="1:8" ht="13.2" customHeight="1" x14ac:dyDescent="0.25">
      <c r="A19" s="64"/>
      <c r="B19" s="107"/>
      <c r="C19" s="107"/>
      <c r="D19" s="107"/>
      <c r="E19" s="107"/>
      <c r="F19" s="107"/>
      <c r="G19" s="107"/>
      <c r="H19" s="65"/>
    </row>
    <row r="20" spans="1:8" ht="13.2" customHeight="1" x14ac:dyDescent="0.25">
      <c r="A20" s="64"/>
      <c r="B20" s="107"/>
      <c r="C20" s="107"/>
      <c r="D20" s="107"/>
      <c r="E20" s="107"/>
      <c r="F20" s="107"/>
      <c r="G20" s="107"/>
      <c r="H20" s="65"/>
    </row>
    <row r="21" spans="1:8" ht="13.2" customHeight="1" x14ac:dyDescent="0.25">
      <c r="A21" s="64"/>
      <c r="B21" s="107"/>
      <c r="C21" s="107"/>
      <c r="D21" s="107"/>
      <c r="E21" s="107"/>
      <c r="F21" s="107"/>
      <c r="G21" s="107"/>
      <c r="H21" s="65"/>
    </row>
    <row r="22" spans="1:8" ht="13.2" customHeight="1" x14ac:dyDescent="0.25">
      <c r="A22" s="64"/>
      <c r="B22" s="107"/>
      <c r="C22" s="107"/>
      <c r="D22" s="107"/>
      <c r="E22" s="107"/>
      <c r="F22" s="107"/>
      <c r="G22" s="107"/>
      <c r="H22" s="65"/>
    </row>
    <row r="23" spans="1:8" ht="13.2" customHeight="1" x14ac:dyDescent="0.25">
      <c r="A23" s="64"/>
      <c r="B23" s="107"/>
      <c r="C23" s="107"/>
      <c r="D23" s="107"/>
      <c r="E23" s="107"/>
      <c r="F23" s="107"/>
      <c r="G23" s="107"/>
      <c r="H23" s="65"/>
    </row>
    <row r="24" spans="1:8" ht="13.2" customHeight="1" x14ac:dyDescent="0.25">
      <c r="A24" s="64"/>
      <c r="B24" s="107"/>
      <c r="C24" s="107"/>
      <c r="D24" s="107"/>
      <c r="E24" s="107"/>
      <c r="F24" s="107"/>
      <c r="G24" s="107"/>
      <c r="H24" s="65"/>
    </row>
    <row r="25" spans="1:8" ht="13.2" customHeight="1" x14ac:dyDescent="0.25">
      <c r="A25" s="64"/>
      <c r="B25" s="107"/>
      <c r="C25" s="107"/>
      <c r="D25" s="107"/>
      <c r="E25" s="107"/>
      <c r="F25" s="107"/>
      <c r="G25" s="107"/>
      <c r="H25" s="65"/>
    </row>
    <row r="26" spans="1:8" ht="13.2" customHeight="1" x14ac:dyDescent="0.25">
      <c r="A26" s="64"/>
      <c r="B26" s="107"/>
      <c r="C26" s="107"/>
      <c r="D26" s="107"/>
      <c r="E26" s="107"/>
      <c r="F26" s="107"/>
      <c r="G26" s="107"/>
      <c r="H26" s="65"/>
    </row>
    <row r="27" spans="1:8" ht="13.2" customHeight="1" x14ac:dyDescent="0.25">
      <c r="A27" s="64"/>
      <c r="B27" s="107"/>
      <c r="C27" s="107"/>
      <c r="D27" s="107"/>
      <c r="E27" s="107"/>
      <c r="F27" s="107"/>
      <c r="G27" s="107"/>
      <c r="H27" s="65"/>
    </row>
    <row r="28" spans="1:8" ht="13.2" customHeight="1" x14ac:dyDescent="0.25">
      <c r="A28" s="64"/>
      <c r="B28" s="107"/>
      <c r="C28" s="107"/>
      <c r="D28" s="107"/>
      <c r="E28" s="107"/>
      <c r="F28" s="107"/>
      <c r="G28" s="107"/>
      <c r="H28" s="65"/>
    </row>
    <row r="29" spans="1:8" ht="13.2" customHeight="1" x14ac:dyDescent="0.25">
      <c r="A29" s="64"/>
      <c r="B29" s="107"/>
      <c r="C29" s="107"/>
      <c r="D29" s="107"/>
      <c r="E29" s="107"/>
      <c r="F29" s="107"/>
      <c r="G29" s="107"/>
      <c r="H29" s="65"/>
    </row>
    <row r="30" spans="1:8" ht="13.2" customHeight="1" x14ac:dyDescent="0.25">
      <c r="A30" s="64"/>
      <c r="B30" s="107"/>
      <c r="C30" s="107"/>
      <c r="D30" s="107"/>
      <c r="E30" s="107"/>
      <c r="F30" s="107"/>
      <c r="G30" s="107"/>
      <c r="H30" s="65"/>
    </row>
    <row r="31" spans="1:8" ht="13.2" customHeight="1" x14ac:dyDescent="0.25">
      <c r="A31" s="64"/>
      <c r="B31" s="107"/>
      <c r="C31" s="107"/>
      <c r="D31" s="107"/>
      <c r="E31" s="107"/>
      <c r="F31" s="107"/>
      <c r="G31" s="107"/>
      <c r="H31" s="65"/>
    </row>
    <row r="32" spans="1:8" ht="13.2" customHeight="1" x14ac:dyDescent="0.25">
      <c r="A32" s="64"/>
      <c r="B32" s="107"/>
      <c r="C32" s="107"/>
      <c r="D32" s="107"/>
      <c r="E32" s="107"/>
      <c r="F32" s="107"/>
      <c r="G32" s="107"/>
      <c r="H32" s="65"/>
    </row>
    <row r="33" spans="1:8" ht="13.2" customHeight="1" x14ac:dyDescent="0.25">
      <c r="A33" s="64"/>
      <c r="B33" s="107"/>
      <c r="C33" s="107"/>
      <c r="D33" s="107"/>
      <c r="E33" s="107"/>
      <c r="F33" s="107"/>
      <c r="G33" s="107"/>
      <c r="H33" s="65"/>
    </row>
    <row r="34" spans="1:8" ht="16.2" customHeight="1" x14ac:dyDescent="0.25">
      <c r="A34" s="64"/>
      <c r="B34" s="107"/>
      <c r="C34" s="107"/>
      <c r="D34" s="107"/>
      <c r="E34" s="107"/>
      <c r="F34" s="107"/>
      <c r="G34" s="107"/>
      <c r="H34" s="65"/>
    </row>
    <row r="35" spans="1:8" ht="16.2" customHeight="1" x14ac:dyDescent="0.25">
      <c r="A35" s="64"/>
      <c r="B35" s="107"/>
      <c r="C35" s="107"/>
      <c r="D35" s="107"/>
      <c r="E35" s="107"/>
      <c r="F35" s="107"/>
      <c r="G35" s="107"/>
      <c r="H35" s="65"/>
    </row>
    <row r="36" spans="1:8" ht="16.2" customHeight="1" x14ac:dyDescent="0.25">
      <c r="A36" s="64"/>
      <c r="B36" s="107"/>
      <c r="C36" s="107"/>
      <c r="D36" s="107"/>
      <c r="E36" s="107"/>
      <c r="F36" s="107"/>
      <c r="G36" s="107"/>
      <c r="H36" s="65"/>
    </row>
    <row r="37" spans="1:8" ht="16.2" customHeight="1" x14ac:dyDescent="0.25">
      <c r="A37" s="64"/>
      <c r="B37" s="107"/>
      <c r="C37" s="107"/>
      <c r="D37" s="107"/>
      <c r="E37" s="107"/>
      <c r="F37" s="107"/>
      <c r="G37" s="107"/>
      <c r="H37" s="65"/>
    </row>
    <row r="38" spans="1:8" ht="16.2" customHeight="1" x14ac:dyDescent="0.25">
      <c r="A38" s="64"/>
      <c r="B38" s="107"/>
      <c r="C38" s="107"/>
      <c r="D38" s="107"/>
      <c r="E38" s="107"/>
      <c r="F38" s="107"/>
      <c r="G38" s="107"/>
      <c r="H38" s="65"/>
    </row>
    <row r="39" spans="1:8" ht="16.2" customHeight="1" x14ac:dyDescent="0.25">
      <c r="A39" s="64"/>
      <c r="B39" s="107"/>
      <c r="C39" s="107"/>
      <c r="D39" s="107"/>
      <c r="E39" s="107"/>
      <c r="F39" s="107"/>
      <c r="G39" s="107"/>
      <c r="H39" s="65"/>
    </row>
    <row r="40" spans="1:8" ht="16.8" customHeight="1" x14ac:dyDescent="0.25">
      <c r="A40" s="66"/>
      <c r="B40" s="67"/>
      <c r="C40" s="67"/>
      <c r="D40" s="67"/>
      <c r="E40" s="67"/>
      <c r="F40" s="67"/>
      <c r="G40" s="67"/>
      <c r="H40" s="68"/>
    </row>
    <row r="41" spans="1:8" ht="13.2" x14ac:dyDescent="0.25">
      <c r="A41" s="111"/>
      <c r="B41" s="112"/>
      <c r="C41" s="112"/>
      <c r="D41" s="112"/>
      <c r="E41" s="112"/>
      <c r="F41" s="112"/>
      <c r="G41" s="112"/>
      <c r="H41" s="113"/>
    </row>
    <row r="42" spans="1:8" ht="13.2" x14ac:dyDescent="0.25">
      <c r="A42" s="114"/>
      <c r="B42" s="115"/>
      <c r="C42" s="115"/>
      <c r="D42" s="115"/>
      <c r="E42" s="115"/>
      <c r="F42" s="115"/>
      <c r="G42" s="115"/>
      <c r="H42" s="116"/>
    </row>
    <row r="43" spans="1:8" ht="13.2" x14ac:dyDescent="0.25">
      <c r="A43" s="114"/>
      <c r="B43" s="115"/>
      <c r="C43" s="115"/>
      <c r="D43" s="115"/>
      <c r="E43" s="115"/>
      <c r="F43" s="115"/>
      <c r="G43" s="115"/>
      <c r="H43" s="116"/>
    </row>
    <row r="44" spans="1:8" ht="13.2" x14ac:dyDescent="0.25">
      <c r="A44" s="114"/>
      <c r="B44" s="115"/>
      <c r="C44" s="115"/>
      <c r="D44" s="115"/>
      <c r="E44" s="115"/>
      <c r="F44" s="115"/>
      <c r="G44" s="115"/>
      <c r="H44" s="116"/>
    </row>
    <row r="45" spans="1:8" ht="13.2" x14ac:dyDescent="0.25">
      <c r="A45" s="114"/>
      <c r="B45" s="115"/>
      <c r="C45" s="115"/>
      <c r="D45" s="115"/>
      <c r="E45" s="115"/>
      <c r="F45" s="115"/>
      <c r="G45" s="115"/>
      <c r="H45" s="116"/>
    </row>
    <row r="46" spans="1:8" ht="13.2" x14ac:dyDescent="0.25">
      <c r="A46" s="114"/>
      <c r="B46" s="115"/>
      <c r="C46" s="115"/>
      <c r="D46" s="115"/>
      <c r="E46" s="115"/>
      <c r="F46" s="115"/>
      <c r="G46" s="115"/>
      <c r="H46" s="116"/>
    </row>
    <row r="47" spans="1:8" ht="13.2" x14ac:dyDescent="0.25">
      <c r="A47" s="114"/>
      <c r="B47" s="115"/>
      <c r="C47" s="115"/>
      <c r="D47" s="115"/>
      <c r="E47" s="115"/>
      <c r="F47" s="115"/>
      <c r="G47" s="115"/>
      <c r="H47" s="116"/>
    </row>
    <row r="48" spans="1:8" ht="13.2" x14ac:dyDescent="0.25">
      <c r="A48" s="114"/>
      <c r="B48" s="115"/>
      <c r="C48" s="115"/>
      <c r="D48" s="115"/>
      <c r="E48" s="115"/>
      <c r="F48" s="115"/>
      <c r="G48" s="115"/>
      <c r="H48" s="116"/>
    </row>
    <row r="49" spans="1:8" ht="13.2" x14ac:dyDescent="0.25">
      <c r="A49" s="114"/>
      <c r="B49" s="115"/>
      <c r="C49" s="115"/>
      <c r="D49" s="115"/>
      <c r="E49" s="115"/>
      <c r="F49" s="115"/>
      <c r="G49" s="115"/>
      <c r="H49" s="116"/>
    </row>
    <row r="50" spans="1:8" ht="13.2" x14ac:dyDescent="0.25">
      <c r="A50" s="114"/>
      <c r="B50" s="115"/>
      <c r="C50" s="115"/>
      <c r="D50" s="115"/>
      <c r="E50" s="115"/>
      <c r="F50" s="115"/>
      <c r="G50" s="115"/>
      <c r="H50" s="116"/>
    </row>
    <row r="51" spans="1:8" ht="13.2" x14ac:dyDescent="0.25">
      <c r="A51" s="114"/>
      <c r="B51" s="115"/>
      <c r="C51" s="115"/>
      <c r="D51" s="115"/>
      <c r="E51" s="115"/>
      <c r="F51" s="115"/>
      <c r="G51" s="115"/>
      <c r="H51" s="116"/>
    </row>
    <row r="52" spans="1:8" ht="15" customHeight="1" x14ac:dyDescent="0.25">
      <c r="A52" s="114"/>
      <c r="B52" s="115"/>
      <c r="C52" s="115"/>
      <c r="D52" s="115"/>
      <c r="E52" s="115"/>
      <c r="F52" s="115"/>
      <c r="G52" s="115"/>
      <c r="H52" s="116"/>
    </row>
    <row r="53" spans="1:8" ht="15" customHeight="1" x14ac:dyDescent="0.25">
      <c r="A53" s="117"/>
      <c r="B53" s="118"/>
      <c r="C53" s="118"/>
      <c r="D53" s="118"/>
      <c r="E53" s="118"/>
      <c r="F53" s="118"/>
      <c r="G53" s="118"/>
      <c r="H53" s="119"/>
    </row>
  </sheetData>
  <mergeCells count="3">
    <mergeCell ref="A8:H8"/>
    <mergeCell ref="A41:H53"/>
    <mergeCell ref="A9:H40"/>
  </mergeCells>
  <hyperlinks>
    <hyperlink ref="A8"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64"/>
  <sheetViews>
    <sheetView showGridLines="0" workbookViewId="0">
      <selection activeCell="J1" sqref="J1:N1"/>
    </sheetView>
  </sheetViews>
  <sheetFormatPr defaultColWidth="12.6640625" defaultRowHeight="15" customHeight="1" x14ac:dyDescent="0.25"/>
  <cols>
    <col min="1" max="1" width="18.88671875" customWidth="1"/>
    <col min="2" max="2" width="14.21875" customWidth="1"/>
    <col min="3" max="6" width="12.6640625" customWidth="1"/>
    <col min="7" max="7" width="14.33203125" customWidth="1"/>
    <col min="9" max="9" width="3.21875" customWidth="1"/>
    <col min="15" max="15" width="3.21875" customWidth="1"/>
  </cols>
  <sheetData>
    <row r="1" spans="1:14" ht="24.6" x14ac:dyDescent="0.55000000000000004">
      <c r="A1" s="69" t="s">
        <v>1</v>
      </c>
      <c r="B1" s="70"/>
      <c r="C1" s="70"/>
      <c r="D1" s="2"/>
      <c r="E1" s="2"/>
      <c r="F1" s="2"/>
      <c r="G1" s="71" t="s">
        <v>2</v>
      </c>
      <c r="H1" s="72"/>
      <c r="J1" s="73" t="s">
        <v>3</v>
      </c>
      <c r="K1" s="74"/>
      <c r="L1" s="74"/>
      <c r="M1" s="74"/>
      <c r="N1" s="74"/>
    </row>
    <row r="2" spans="1:14" ht="15.75" customHeight="1" x14ac:dyDescent="0.4">
      <c r="A2" s="3"/>
      <c r="B2" s="3"/>
      <c r="C2" s="3"/>
      <c r="D2" s="3"/>
      <c r="E2" s="3"/>
      <c r="F2" s="3"/>
      <c r="G2" s="3"/>
      <c r="H2" s="3"/>
      <c r="J2" s="75" t="s">
        <v>25</v>
      </c>
      <c r="K2" s="76"/>
      <c r="L2" s="76"/>
      <c r="M2" s="76"/>
      <c r="N2" s="77"/>
    </row>
    <row r="3" spans="1:14" ht="15.75" customHeight="1" x14ac:dyDescent="0.25">
      <c r="A3" s="41" t="s">
        <v>4</v>
      </c>
      <c r="B3" s="42" t="s">
        <v>5</v>
      </c>
      <c r="C3" s="42" t="s">
        <v>6</v>
      </c>
      <c r="D3" s="42" t="s">
        <v>7</v>
      </c>
      <c r="E3" s="42" t="s">
        <v>8</v>
      </c>
      <c r="F3" s="42" t="s">
        <v>9</v>
      </c>
      <c r="G3" s="42" t="s">
        <v>10</v>
      </c>
      <c r="H3" s="42" t="s">
        <v>11</v>
      </c>
      <c r="J3" s="78"/>
      <c r="K3" s="79"/>
      <c r="L3" s="79"/>
      <c r="M3" s="79"/>
      <c r="N3" s="80"/>
    </row>
    <row r="4" spans="1:14" ht="15.75" customHeight="1" x14ac:dyDescent="0.25">
      <c r="A4" s="4"/>
      <c r="B4" s="5"/>
      <c r="C4" s="6"/>
      <c r="D4" s="6"/>
      <c r="E4" s="6"/>
      <c r="F4" s="6"/>
      <c r="G4" s="6"/>
      <c r="H4" s="7"/>
      <c r="J4" s="78"/>
      <c r="K4" s="79"/>
      <c r="L4" s="79"/>
      <c r="M4" s="79"/>
      <c r="N4" s="80"/>
    </row>
    <row r="5" spans="1:14" ht="15.75" customHeight="1" x14ac:dyDescent="0.25">
      <c r="A5" s="4"/>
      <c r="B5" s="5"/>
      <c r="C5" s="6"/>
      <c r="D5" s="6"/>
      <c r="E5" s="6"/>
      <c r="F5" s="6"/>
      <c r="G5" s="6"/>
      <c r="H5" s="7"/>
      <c r="J5" s="78"/>
      <c r="K5" s="79"/>
      <c r="L5" s="79"/>
      <c r="M5" s="79"/>
      <c r="N5" s="80"/>
    </row>
    <row r="6" spans="1:14" ht="15.75" customHeight="1" x14ac:dyDescent="0.25">
      <c r="A6" s="4"/>
      <c r="B6" s="5"/>
      <c r="C6" s="6"/>
      <c r="D6" s="6"/>
      <c r="E6" s="6"/>
      <c r="F6" s="6"/>
      <c r="G6" s="6"/>
      <c r="H6" s="7"/>
      <c r="J6" s="78"/>
      <c r="K6" s="79"/>
      <c r="L6" s="79"/>
      <c r="M6" s="79"/>
      <c r="N6" s="80"/>
    </row>
    <row r="7" spans="1:14" ht="15.75" customHeight="1" x14ac:dyDescent="0.25">
      <c r="A7" s="4"/>
      <c r="B7" s="5"/>
      <c r="C7" s="6"/>
      <c r="D7" s="6"/>
      <c r="E7" s="6"/>
      <c r="F7" s="6"/>
      <c r="G7" s="6"/>
      <c r="H7" s="7"/>
      <c r="J7" s="78"/>
      <c r="K7" s="79"/>
      <c r="L7" s="79"/>
      <c r="M7" s="79"/>
      <c r="N7" s="80"/>
    </row>
    <row r="8" spans="1:14" ht="15.75" customHeight="1" x14ac:dyDescent="0.25">
      <c r="A8" s="4"/>
      <c r="B8" s="5"/>
      <c r="C8" s="6"/>
      <c r="D8" s="6"/>
      <c r="E8" s="6"/>
      <c r="F8" s="6"/>
      <c r="G8" s="6"/>
      <c r="H8" s="7"/>
      <c r="J8" s="78"/>
      <c r="K8" s="79"/>
      <c r="L8" s="79"/>
      <c r="M8" s="79"/>
      <c r="N8" s="80"/>
    </row>
    <row r="9" spans="1:14" ht="15.75" customHeight="1" x14ac:dyDescent="0.25">
      <c r="A9" s="4"/>
      <c r="B9" s="5"/>
      <c r="C9" s="6"/>
      <c r="D9" s="6"/>
      <c r="E9" s="6"/>
      <c r="F9" s="6"/>
      <c r="G9" s="6"/>
      <c r="H9" s="7"/>
      <c r="J9" s="78"/>
      <c r="K9" s="79"/>
      <c r="L9" s="79"/>
      <c r="M9" s="79"/>
      <c r="N9" s="80"/>
    </row>
    <row r="10" spans="1:14" ht="15.75" customHeight="1" x14ac:dyDescent="0.25">
      <c r="A10" s="4"/>
      <c r="B10" s="5"/>
      <c r="C10" s="6"/>
      <c r="D10" s="6"/>
      <c r="E10" s="6"/>
      <c r="F10" s="6"/>
      <c r="G10" s="6"/>
      <c r="H10" s="7"/>
      <c r="J10" s="78"/>
      <c r="K10" s="79"/>
      <c r="L10" s="79"/>
      <c r="M10" s="79"/>
      <c r="N10" s="80"/>
    </row>
    <row r="11" spans="1:14" ht="15.75" customHeight="1" x14ac:dyDescent="0.25">
      <c r="A11" s="4"/>
      <c r="B11" s="5"/>
      <c r="C11" s="6"/>
      <c r="D11" s="6"/>
      <c r="E11" s="6"/>
      <c r="F11" s="6"/>
      <c r="G11" s="6"/>
      <c r="H11" s="7"/>
      <c r="J11" s="78"/>
      <c r="K11" s="79"/>
      <c r="L11" s="79"/>
      <c r="M11" s="79"/>
      <c r="N11" s="80"/>
    </row>
    <row r="12" spans="1:14" ht="15.75" customHeight="1" x14ac:dyDescent="0.25">
      <c r="A12" s="4"/>
      <c r="B12" s="5"/>
      <c r="C12" s="6"/>
      <c r="D12" s="6"/>
      <c r="E12" s="6"/>
      <c r="F12" s="6"/>
      <c r="G12" s="6"/>
      <c r="H12" s="7"/>
      <c r="J12" s="78"/>
      <c r="K12" s="79"/>
      <c r="L12" s="79"/>
      <c r="M12" s="79"/>
      <c r="N12" s="80"/>
    </row>
    <row r="13" spans="1:14" ht="15.75" customHeight="1" x14ac:dyDescent="0.25">
      <c r="A13" s="4"/>
      <c r="B13" s="5"/>
      <c r="C13" s="6"/>
      <c r="D13" s="6"/>
      <c r="E13" s="6"/>
      <c r="F13" s="6"/>
      <c r="G13" s="6"/>
      <c r="H13" s="7"/>
      <c r="J13" s="78"/>
      <c r="K13" s="79"/>
      <c r="L13" s="79"/>
      <c r="M13" s="79"/>
      <c r="N13" s="80"/>
    </row>
    <row r="14" spans="1:14" ht="15.75" customHeight="1" x14ac:dyDescent="0.25">
      <c r="A14" s="4"/>
      <c r="B14" s="5"/>
      <c r="C14" s="6"/>
      <c r="D14" s="6"/>
      <c r="E14" s="6"/>
      <c r="F14" s="6"/>
      <c r="G14" s="6"/>
      <c r="H14" s="7"/>
      <c r="J14" s="78"/>
      <c r="K14" s="79"/>
      <c r="L14" s="79"/>
      <c r="M14" s="79"/>
      <c r="N14" s="80"/>
    </row>
    <row r="15" spans="1:14" ht="15.75" customHeight="1" x14ac:dyDescent="0.25">
      <c r="A15" s="4"/>
      <c r="B15" s="5"/>
      <c r="C15" s="6"/>
      <c r="D15" s="6"/>
      <c r="E15" s="6"/>
      <c r="F15" s="6"/>
      <c r="G15" s="6"/>
      <c r="H15" s="7"/>
      <c r="J15" s="78"/>
      <c r="K15" s="79"/>
      <c r="L15" s="79"/>
      <c r="M15" s="79"/>
      <c r="N15" s="80"/>
    </row>
    <row r="16" spans="1:14" ht="15.75" customHeight="1" x14ac:dyDescent="0.25">
      <c r="A16" s="4"/>
      <c r="B16" s="5"/>
      <c r="C16" s="6"/>
      <c r="D16" s="6"/>
      <c r="E16" s="6"/>
      <c r="F16" s="6"/>
      <c r="G16" s="6"/>
      <c r="H16" s="7"/>
      <c r="J16" s="78"/>
      <c r="K16" s="79"/>
      <c r="L16" s="79"/>
      <c r="M16" s="79"/>
      <c r="N16" s="80"/>
    </row>
    <row r="17" spans="1:14" ht="15.75" customHeight="1" x14ac:dyDescent="0.25">
      <c r="A17" s="4"/>
      <c r="B17" s="5"/>
      <c r="C17" s="6"/>
      <c r="D17" s="6"/>
      <c r="E17" s="6"/>
      <c r="F17" s="6"/>
      <c r="G17" s="6"/>
      <c r="H17" s="7"/>
      <c r="J17" s="78"/>
      <c r="K17" s="79"/>
      <c r="L17" s="79"/>
      <c r="M17" s="79"/>
      <c r="N17" s="80"/>
    </row>
    <row r="18" spans="1:14" ht="15.75" customHeight="1" x14ac:dyDescent="0.25">
      <c r="A18" s="4"/>
      <c r="B18" s="5"/>
      <c r="C18" s="6"/>
      <c r="D18" s="6"/>
      <c r="E18" s="6"/>
      <c r="F18" s="6"/>
      <c r="G18" s="6"/>
      <c r="H18" s="7"/>
      <c r="J18" s="78"/>
      <c r="K18" s="79"/>
      <c r="L18" s="79"/>
      <c r="M18" s="79"/>
      <c r="N18" s="80"/>
    </row>
    <row r="19" spans="1:14" ht="15.75" customHeight="1" x14ac:dyDescent="0.25">
      <c r="A19" s="4"/>
      <c r="B19" s="5"/>
      <c r="C19" s="6"/>
      <c r="D19" s="6"/>
      <c r="E19" s="6"/>
      <c r="F19" s="6"/>
      <c r="G19" s="6"/>
      <c r="H19" s="7"/>
      <c r="J19" s="78"/>
      <c r="K19" s="79"/>
      <c r="L19" s="79"/>
      <c r="M19" s="79"/>
      <c r="N19" s="80"/>
    </row>
    <row r="20" spans="1:14" ht="15.75" customHeight="1" x14ac:dyDescent="0.25">
      <c r="A20" s="4"/>
      <c r="B20" s="5"/>
      <c r="C20" s="6"/>
      <c r="D20" s="6"/>
      <c r="E20" s="6"/>
      <c r="F20" s="6"/>
      <c r="G20" s="6"/>
      <c r="H20" s="7"/>
      <c r="J20" s="81"/>
      <c r="K20" s="82"/>
      <c r="L20" s="82"/>
      <c r="M20" s="82"/>
      <c r="N20" s="83"/>
    </row>
    <row r="21" spans="1:14" ht="15.75" customHeight="1" x14ac:dyDescent="0.25">
      <c r="A21" s="4"/>
      <c r="B21" s="5"/>
      <c r="C21" s="6"/>
      <c r="D21" s="6"/>
      <c r="E21" s="6"/>
      <c r="F21" s="6"/>
      <c r="G21" s="6"/>
      <c r="H21" s="7"/>
    </row>
    <row r="22" spans="1:14" ht="15.75" customHeight="1" x14ac:dyDescent="0.25">
      <c r="A22" s="4"/>
      <c r="B22" s="5"/>
      <c r="C22" s="6"/>
      <c r="D22" s="6"/>
      <c r="E22" s="6"/>
      <c r="F22" s="6"/>
      <c r="G22" s="6"/>
      <c r="H22" s="7"/>
    </row>
    <row r="23" spans="1:14" ht="15.75" customHeight="1" x14ac:dyDescent="0.25">
      <c r="A23" s="4"/>
      <c r="B23" s="5"/>
      <c r="C23" s="6"/>
      <c r="D23" s="6"/>
      <c r="E23" s="6"/>
      <c r="F23" s="6"/>
      <c r="G23" s="6"/>
      <c r="H23" s="7"/>
    </row>
    <row r="24" spans="1:14" ht="15.75" customHeight="1" x14ac:dyDescent="0.25">
      <c r="A24" s="4"/>
      <c r="B24" s="5"/>
      <c r="C24" s="6"/>
      <c r="D24" s="6"/>
      <c r="E24" s="6"/>
      <c r="F24" s="6"/>
      <c r="G24" s="6"/>
      <c r="H24" s="7"/>
    </row>
    <row r="25" spans="1:14" ht="15.75" customHeight="1" x14ac:dyDescent="0.25">
      <c r="A25" s="4"/>
      <c r="B25" s="5"/>
      <c r="C25" s="6"/>
      <c r="D25" s="6"/>
      <c r="E25" s="6"/>
      <c r="F25" s="6"/>
      <c r="G25" s="6"/>
      <c r="H25" s="7"/>
    </row>
    <row r="26" spans="1:14" ht="15.75" customHeight="1" x14ac:dyDescent="0.25">
      <c r="A26" s="4"/>
      <c r="B26" s="5"/>
      <c r="C26" s="6"/>
      <c r="D26" s="6"/>
      <c r="E26" s="6"/>
      <c r="F26" s="6"/>
      <c r="G26" s="6"/>
      <c r="H26" s="7"/>
    </row>
    <row r="27" spans="1:14" ht="15.75" customHeight="1" x14ac:dyDescent="0.25">
      <c r="A27" s="4"/>
      <c r="B27" s="5"/>
      <c r="C27" s="6"/>
      <c r="D27" s="6"/>
      <c r="E27" s="6"/>
      <c r="F27" s="6"/>
      <c r="G27" s="6"/>
      <c r="H27" s="7"/>
    </row>
    <row r="28" spans="1:14" ht="15.75" customHeight="1" x14ac:dyDescent="0.25">
      <c r="A28" s="4"/>
      <c r="B28" s="5"/>
      <c r="C28" s="6"/>
      <c r="D28" s="6"/>
      <c r="E28" s="6"/>
      <c r="F28" s="6"/>
      <c r="G28" s="6"/>
      <c r="H28" s="7"/>
    </row>
    <row r="29" spans="1:14" ht="15.75" customHeight="1" x14ac:dyDescent="0.25">
      <c r="A29" s="4"/>
      <c r="B29" s="5"/>
      <c r="C29" s="6"/>
      <c r="D29" s="6"/>
      <c r="E29" s="6"/>
      <c r="F29" s="6"/>
      <c r="G29" s="6"/>
      <c r="H29" s="7"/>
    </row>
    <row r="30" spans="1:14" ht="15.75" customHeight="1" x14ac:dyDescent="0.25">
      <c r="A30" s="4"/>
      <c r="B30" s="5"/>
      <c r="C30" s="6"/>
      <c r="D30" s="6"/>
      <c r="E30" s="6"/>
      <c r="F30" s="6"/>
      <c r="G30" s="6"/>
      <c r="H30" s="7"/>
    </row>
    <row r="31" spans="1:14" ht="15.75" customHeight="1" x14ac:dyDescent="0.25">
      <c r="A31" s="4"/>
      <c r="B31" s="5"/>
      <c r="C31" s="6"/>
      <c r="D31" s="6"/>
      <c r="E31" s="6"/>
      <c r="F31" s="6"/>
      <c r="G31" s="6"/>
      <c r="H31" s="7"/>
    </row>
    <row r="32" spans="1:14" ht="15.75" customHeight="1" x14ac:dyDescent="0.25">
      <c r="A32" s="4"/>
      <c r="B32" s="5"/>
      <c r="C32" s="6"/>
      <c r="D32" s="6"/>
      <c r="E32" s="6"/>
      <c r="F32" s="6"/>
      <c r="G32" s="6"/>
      <c r="H32" s="7"/>
    </row>
    <row r="33" spans="1:8" ht="15.75" customHeight="1" x14ac:dyDescent="0.25">
      <c r="A33" s="4"/>
      <c r="B33" s="5"/>
      <c r="C33" s="6"/>
      <c r="D33" s="6"/>
      <c r="E33" s="6"/>
      <c r="F33" s="6"/>
      <c r="G33" s="6"/>
      <c r="H33" s="7"/>
    </row>
    <row r="34" spans="1:8" ht="15.75" customHeight="1" x14ac:dyDescent="0.25">
      <c r="A34" s="4"/>
      <c r="B34" s="5"/>
      <c r="C34" s="6"/>
      <c r="D34" s="6"/>
      <c r="E34" s="6"/>
      <c r="F34" s="6"/>
      <c r="G34" s="6"/>
      <c r="H34" s="7"/>
    </row>
    <row r="35" spans="1:8" ht="15.75" customHeight="1" x14ac:dyDescent="0.25">
      <c r="A35" s="4"/>
      <c r="B35" s="5"/>
      <c r="C35" s="6"/>
      <c r="D35" s="6"/>
      <c r="E35" s="6"/>
      <c r="F35" s="6"/>
      <c r="G35" s="6"/>
      <c r="H35" s="7"/>
    </row>
    <row r="36" spans="1:8" ht="15.75" customHeight="1" x14ac:dyDescent="0.25">
      <c r="A36" s="4"/>
      <c r="B36" s="5"/>
      <c r="C36" s="6"/>
      <c r="D36" s="6"/>
      <c r="E36" s="6"/>
      <c r="F36" s="6"/>
      <c r="G36" s="6"/>
      <c r="H36" s="7"/>
    </row>
    <row r="37" spans="1:8" ht="15.75" customHeight="1" x14ac:dyDescent="0.25">
      <c r="A37" s="4"/>
      <c r="B37" s="5"/>
      <c r="C37" s="6"/>
      <c r="D37" s="6"/>
      <c r="E37" s="6"/>
      <c r="F37" s="6"/>
      <c r="G37" s="6"/>
      <c r="H37" s="7"/>
    </row>
    <row r="38" spans="1:8" ht="15.75" customHeight="1" x14ac:dyDescent="0.25">
      <c r="A38" s="4"/>
      <c r="B38" s="5"/>
      <c r="C38" s="6"/>
      <c r="D38" s="6"/>
      <c r="E38" s="6"/>
      <c r="F38" s="6"/>
      <c r="G38" s="6"/>
      <c r="H38" s="7"/>
    </row>
    <row r="39" spans="1:8" ht="15.75" customHeight="1" x14ac:dyDescent="0.25">
      <c r="A39" s="4"/>
      <c r="B39" s="5"/>
      <c r="C39" s="6"/>
      <c r="D39" s="6"/>
      <c r="E39" s="6"/>
      <c r="F39" s="6"/>
      <c r="G39" s="6"/>
      <c r="H39" s="7"/>
    </row>
    <row r="40" spans="1:8" ht="15.75" customHeight="1" x14ac:dyDescent="0.25">
      <c r="A40" s="4"/>
      <c r="B40" s="5"/>
      <c r="C40" s="6"/>
      <c r="D40" s="6"/>
      <c r="E40" s="6"/>
      <c r="F40" s="6"/>
      <c r="G40" s="6"/>
      <c r="H40" s="7"/>
    </row>
    <row r="41" spans="1:8" ht="15.75" customHeight="1" x14ac:dyDescent="0.25">
      <c r="A41" s="4"/>
      <c r="B41" s="5"/>
      <c r="C41" s="6"/>
      <c r="D41" s="6"/>
      <c r="E41" s="6"/>
      <c r="F41" s="6"/>
      <c r="G41" s="6"/>
      <c r="H41" s="7"/>
    </row>
    <row r="42" spans="1:8" ht="15.75" customHeight="1" x14ac:dyDescent="0.25">
      <c r="A42" s="4"/>
      <c r="B42" s="5"/>
      <c r="C42" s="6"/>
      <c r="D42" s="6"/>
      <c r="E42" s="6"/>
      <c r="F42" s="6"/>
      <c r="G42" s="6"/>
      <c r="H42" s="7"/>
    </row>
    <row r="43" spans="1:8" ht="15.75" customHeight="1" x14ac:dyDescent="0.25">
      <c r="A43" s="4"/>
      <c r="B43" s="5"/>
      <c r="C43" s="6"/>
      <c r="D43" s="6"/>
      <c r="E43" s="6"/>
      <c r="F43" s="6"/>
      <c r="G43" s="6"/>
      <c r="H43" s="7"/>
    </row>
    <row r="44" spans="1:8" ht="15.75" customHeight="1" x14ac:dyDescent="0.25">
      <c r="A44" s="4"/>
      <c r="B44" s="5"/>
      <c r="C44" s="6"/>
      <c r="D44" s="6"/>
      <c r="E44" s="6"/>
      <c r="F44" s="6"/>
      <c r="G44" s="6"/>
      <c r="H44" s="7"/>
    </row>
    <row r="45" spans="1:8" ht="15.75" customHeight="1" x14ac:dyDescent="0.25">
      <c r="A45" s="4"/>
      <c r="B45" s="5"/>
      <c r="C45" s="6"/>
      <c r="D45" s="6"/>
      <c r="E45" s="6"/>
      <c r="F45" s="6"/>
      <c r="G45" s="6"/>
      <c r="H45" s="7"/>
    </row>
    <row r="46" spans="1:8" ht="15.75" customHeight="1" x14ac:dyDescent="0.25">
      <c r="A46" s="4"/>
      <c r="B46" s="5"/>
      <c r="C46" s="6"/>
      <c r="D46" s="6"/>
      <c r="E46" s="6"/>
      <c r="F46" s="6"/>
      <c r="G46" s="6"/>
      <c r="H46" s="7"/>
    </row>
    <row r="47" spans="1:8" ht="15.75" customHeight="1" x14ac:dyDescent="0.25">
      <c r="A47" s="4"/>
      <c r="B47" s="5"/>
      <c r="C47" s="6"/>
      <c r="D47" s="6"/>
      <c r="E47" s="6"/>
      <c r="F47" s="6"/>
      <c r="G47" s="6"/>
      <c r="H47" s="7"/>
    </row>
    <row r="48" spans="1:8" ht="15.75" customHeight="1" x14ac:dyDescent="0.25">
      <c r="A48" s="4"/>
      <c r="B48" s="5"/>
      <c r="C48" s="6"/>
      <c r="D48" s="6"/>
      <c r="E48" s="6"/>
      <c r="F48" s="6"/>
      <c r="G48" s="6"/>
      <c r="H48" s="7"/>
    </row>
    <row r="49" spans="1:8" ht="15.75" customHeight="1" x14ac:dyDescent="0.25">
      <c r="A49" s="4"/>
      <c r="B49" s="5"/>
      <c r="C49" s="6"/>
      <c r="D49" s="6"/>
      <c r="E49" s="6"/>
      <c r="F49" s="6"/>
      <c r="G49" s="6"/>
      <c r="H49" s="7"/>
    </row>
    <row r="50" spans="1:8" ht="15.75" customHeight="1" x14ac:dyDescent="0.25">
      <c r="A50" s="4"/>
      <c r="B50" s="5"/>
      <c r="C50" s="6"/>
      <c r="D50" s="6"/>
      <c r="E50" s="6"/>
      <c r="F50" s="6"/>
      <c r="G50" s="6"/>
      <c r="H50" s="7"/>
    </row>
    <row r="51" spans="1:8" ht="15.75" customHeight="1" x14ac:dyDescent="0.25">
      <c r="A51" s="4"/>
      <c r="B51" s="5"/>
      <c r="C51" s="6"/>
      <c r="D51" s="6"/>
      <c r="E51" s="6"/>
      <c r="F51" s="6"/>
      <c r="G51" s="6"/>
      <c r="H51" s="7"/>
    </row>
    <row r="52" spans="1:8" ht="15.75" customHeight="1" x14ac:dyDescent="0.25">
      <c r="A52" s="4"/>
      <c r="B52" s="5"/>
      <c r="C52" s="6"/>
      <c r="D52" s="6"/>
      <c r="E52" s="6"/>
      <c r="F52" s="6"/>
      <c r="G52" s="6"/>
      <c r="H52" s="7"/>
    </row>
    <row r="53" spans="1:8" ht="15.75" customHeight="1" x14ac:dyDescent="0.25">
      <c r="A53" s="4"/>
      <c r="B53" s="5"/>
      <c r="C53" s="6"/>
      <c r="D53" s="6"/>
      <c r="E53" s="6"/>
      <c r="F53" s="6"/>
      <c r="G53" s="6"/>
      <c r="H53" s="7"/>
    </row>
    <row r="54" spans="1:8" ht="15.75" customHeight="1" x14ac:dyDescent="0.25">
      <c r="A54" s="4"/>
      <c r="B54" s="5"/>
      <c r="C54" s="6"/>
      <c r="D54" s="6"/>
      <c r="E54" s="6"/>
      <c r="F54" s="6"/>
      <c r="G54" s="6"/>
      <c r="H54" s="7"/>
    </row>
    <row r="55" spans="1:8" ht="15.75" customHeight="1" x14ac:dyDescent="0.25">
      <c r="A55" s="4"/>
      <c r="B55" s="5"/>
      <c r="C55" s="6"/>
      <c r="D55" s="6"/>
      <c r="E55" s="6"/>
      <c r="F55" s="6"/>
      <c r="G55" s="6"/>
      <c r="H55" s="7"/>
    </row>
    <row r="56" spans="1:8" ht="15.75" customHeight="1" x14ac:dyDescent="0.25">
      <c r="A56" s="4"/>
      <c r="B56" s="5"/>
      <c r="C56" s="6"/>
      <c r="D56" s="6"/>
      <c r="E56" s="6"/>
      <c r="F56" s="6"/>
      <c r="G56" s="6"/>
      <c r="H56" s="7"/>
    </row>
    <row r="57" spans="1:8" ht="15.75" customHeight="1" x14ac:dyDescent="0.25">
      <c r="A57" s="4"/>
      <c r="B57" s="5"/>
      <c r="C57" s="6"/>
      <c r="D57" s="6"/>
      <c r="E57" s="6"/>
      <c r="F57" s="6"/>
      <c r="G57" s="6"/>
      <c r="H57" s="7"/>
    </row>
    <row r="58" spans="1:8" ht="15.75" customHeight="1" x14ac:dyDescent="0.25">
      <c r="A58" s="4"/>
      <c r="B58" s="5"/>
      <c r="C58" s="6"/>
      <c r="D58" s="6"/>
      <c r="E58" s="6"/>
      <c r="F58" s="6"/>
      <c r="G58" s="6"/>
      <c r="H58" s="7"/>
    </row>
    <row r="59" spans="1:8" ht="15.75" customHeight="1" x14ac:dyDescent="0.25">
      <c r="A59" s="4"/>
      <c r="B59" s="5"/>
      <c r="C59" s="6"/>
      <c r="D59" s="6"/>
      <c r="E59" s="6"/>
      <c r="F59" s="6"/>
      <c r="G59" s="6"/>
      <c r="H59" s="7"/>
    </row>
    <row r="60" spans="1:8" ht="15.75" customHeight="1" x14ac:dyDescent="0.25">
      <c r="A60" s="4"/>
      <c r="B60" s="5"/>
      <c r="C60" s="6"/>
      <c r="D60" s="6"/>
      <c r="E60" s="6"/>
      <c r="F60" s="6"/>
      <c r="G60" s="6"/>
      <c r="H60" s="7"/>
    </row>
    <row r="61" spans="1:8" ht="15.75" customHeight="1" x14ac:dyDescent="0.25">
      <c r="A61" s="4"/>
      <c r="B61" s="5"/>
      <c r="C61" s="6"/>
      <c r="D61" s="6"/>
      <c r="E61" s="6"/>
      <c r="F61" s="6"/>
      <c r="G61" s="6"/>
      <c r="H61" s="7"/>
    </row>
    <row r="62" spans="1:8" ht="15.75" customHeight="1" x14ac:dyDescent="0.25">
      <c r="A62" s="4"/>
      <c r="B62" s="5"/>
      <c r="C62" s="6"/>
      <c r="D62" s="6"/>
      <c r="E62" s="6"/>
      <c r="F62" s="6"/>
      <c r="G62" s="6"/>
      <c r="H62" s="7"/>
    </row>
    <row r="63" spans="1:8" ht="15.75" customHeight="1" x14ac:dyDescent="0.25">
      <c r="A63" s="8"/>
      <c r="B63" s="9"/>
      <c r="C63" s="10"/>
      <c r="D63" s="10"/>
      <c r="E63" s="10"/>
      <c r="F63" s="10"/>
      <c r="G63" s="10"/>
      <c r="H63" s="11"/>
    </row>
    <row r="64" spans="1:8" ht="15.75" customHeight="1" x14ac:dyDescent="0.25"/>
  </sheetData>
  <mergeCells count="4">
    <mergeCell ref="A1:C1"/>
    <mergeCell ref="G1:H1"/>
    <mergeCell ref="J1:N1"/>
    <mergeCell ref="J2:N20"/>
  </mergeCells>
  <conditionalFormatting sqref="A4:B63">
    <cfRule type="containsBlanks" dxfId="11" priority="1">
      <formula>LEN(TRIM(A4))=0</formula>
    </cfRule>
  </conditionalFormatting>
  <dataValidations count="1">
    <dataValidation type="custom" allowBlank="1" showDropDown="1" sqref="A4:B63" xr:uid="{00000000-0002-0000-0100-000000000000}">
      <formula1>AND(ISNUMBER(A4),(NOT(OR(NOT(ISERROR(DATEVALUE(A4))), AND(ISNUMBER(A4), LEFT(CELL("format", A4))="D")))))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64"/>
  <sheetViews>
    <sheetView showGridLines="0" workbookViewId="0">
      <selection activeCell="J1" sqref="J1:N1"/>
    </sheetView>
  </sheetViews>
  <sheetFormatPr defaultColWidth="12.6640625" defaultRowHeight="15" customHeight="1" x14ac:dyDescent="0.25"/>
  <cols>
    <col min="1" max="1" width="18.88671875" customWidth="1"/>
    <col min="2" max="6" width="12.6640625" customWidth="1"/>
    <col min="7" max="7" width="13.88671875" customWidth="1"/>
    <col min="9" max="9" width="3.21875" customWidth="1"/>
    <col min="15" max="15" width="3.21875" customWidth="1"/>
  </cols>
  <sheetData>
    <row r="1" spans="1:14" ht="24.6" x14ac:dyDescent="0.55000000000000004">
      <c r="A1" s="69" t="s">
        <v>12</v>
      </c>
      <c r="B1" s="70"/>
      <c r="C1" s="70"/>
      <c r="D1" s="70"/>
      <c r="E1" s="2"/>
      <c r="F1" s="2"/>
      <c r="G1" s="71" t="s">
        <v>2</v>
      </c>
      <c r="H1" s="72"/>
      <c r="J1" s="73" t="s">
        <v>3</v>
      </c>
      <c r="K1" s="74"/>
      <c r="L1" s="74"/>
      <c r="M1" s="74"/>
      <c r="N1" s="74"/>
    </row>
    <row r="2" spans="1:14" ht="15.75" customHeight="1" x14ac:dyDescent="0.4">
      <c r="A2" s="3"/>
      <c r="B2" s="3"/>
      <c r="C2" s="3"/>
      <c r="D2" s="3"/>
      <c r="E2" s="3"/>
      <c r="F2" s="3"/>
      <c r="G2" s="3"/>
      <c r="H2" s="3"/>
      <c r="J2" s="75" t="s">
        <v>26</v>
      </c>
      <c r="K2" s="76"/>
      <c r="L2" s="76"/>
      <c r="M2" s="76"/>
      <c r="N2" s="77"/>
    </row>
    <row r="3" spans="1:14" ht="15.75" customHeight="1" x14ac:dyDescent="0.25">
      <c r="A3" s="41" t="s">
        <v>4</v>
      </c>
      <c r="B3" s="42" t="s">
        <v>5</v>
      </c>
      <c r="C3" s="42" t="s">
        <v>6</v>
      </c>
      <c r="D3" s="42" t="s">
        <v>7</v>
      </c>
      <c r="E3" s="42" t="s">
        <v>8</v>
      </c>
      <c r="F3" s="42" t="s">
        <v>9</v>
      </c>
      <c r="G3" s="42" t="s">
        <v>10</v>
      </c>
      <c r="H3" s="42" t="s">
        <v>11</v>
      </c>
      <c r="J3" s="78"/>
      <c r="K3" s="79"/>
      <c r="L3" s="79"/>
      <c r="M3" s="79"/>
      <c r="N3" s="80"/>
    </row>
    <row r="4" spans="1:14" ht="15.75" customHeight="1" x14ac:dyDescent="0.25">
      <c r="A4" s="46">
        <v>1</v>
      </c>
      <c r="B4" s="12">
        <v>0</v>
      </c>
      <c r="C4" s="6"/>
      <c r="D4" s="6"/>
      <c r="E4" s="6"/>
      <c r="F4" s="6"/>
      <c r="G4" s="6"/>
      <c r="H4" s="7"/>
      <c r="J4" s="78"/>
      <c r="K4" s="79"/>
      <c r="L4" s="79"/>
      <c r="M4" s="79"/>
      <c r="N4" s="80"/>
    </row>
    <row r="5" spans="1:14" ht="15.75" customHeight="1" x14ac:dyDescent="0.25">
      <c r="A5" s="47">
        <f t="shared" ref="A5:A62" si="0">A4+1</f>
        <v>2</v>
      </c>
      <c r="B5" s="13">
        <v>0.82</v>
      </c>
      <c r="C5" s="6"/>
      <c r="D5" s="6"/>
      <c r="E5" s="6"/>
      <c r="F5" s="14"/>
      <c r="G5" s="6"/>
      <c r="H5" s="7"/>
      <c r="J5" s="78"/>
      <c r="K5" s="79"/>
      <c r="L5" s="79"/>
      <c r="M5" s="79"/>
      <c r="N5" s="80"/>
    </row>
    <row r="6" spans="1:14" ht="15.75" customHeight="1" x14ac:dyDescent="0.25">
      <c r="A6" s="46">
        <f t="shared" si="0"/>
        <v>3</v>
      </c>
      <c r="B6" s="12">
        <v>0.98</v>
      </c>
      <c r="C6" s="6"/>
      <c r="D6" s="6"/>
      <c r="E6" s="6"/>
      <c r="F6" s="14"/>
      <c r="G6" s="6"/>
      <c r="H6" s="7"/>
      <c r="J6" s="78"/>
      <c r="K6" s="79"/>
      <c r="L6" s="79"/>
      <c r="M6" s="79"/>
      <c r="N6" s="80"/>
    </row>
    <row r="7" spans="1:14" ht="15.75" customHeight="1" x14ac:dyDescent="0.25">
      <c r="A7" s="47">
        <f t="shared" si="0"/>
        <v>4</v>
      </c>
      <c r="B7" s="13">
        <v>0.89</v>
      </c>
      <c r="C7" s="6"/>
      <c r="D7" s="6"/>
      <c r="E7" s="6"/>
      <c r="F7" s="14"/>
      <c r="G7" s="6"/>
      <c r="H7" s="7"/>
      <c r="J7" s="78"/>
      <c r="K7" s="79"/>
      <c r="L7" s="79"/>
      <c r="M7" s="79"/>
      <c r="N7" s="80"/>
    </row>
    <row r="8" spans="1:14" ht="15.75" customHeight="1" x14ac:dyDescent="0.25">
      <c r="A8" s="46">
        <f t="shared" si="0"/>
        <v>5</v>
      </c>
      <c r="B8" s="12">
        <v>1.76</v>
      </c>
      <c r="C8" s="6"/>
      <c r="D8" s="6"/>
      <c r="E8" s="6"/>
      <c r="F8" s="14"/>
      <c r="G8" s="6"/>
      <c r="H8" s="7"/>
      <c r="J8" s="78"/>
      <c r="K8" s="79"/>
      <c r="L8" s="79"/>
      <c r="M8" s="79"/>
      <c r="N8" s="80"/>
    </row>
    <row r="9" spans="1:14" ht="15.75" customHeight="1" x14ac:dyDescent="0.25">
      <c r="A9" s="47">
        <f t="shared" si="0"/>
        <v>6</v>
      </c>
      <c r="B9" s="13">
        <v>1.1200000000000001</v>
      </c>
      <c r="C9" s="6"/>
      <c r="D9" s="6"/>
      <c r="E9" s="6"/>
      <c r="F9" s="14"/>
      <c r="G9" s="6"/>
      <c r="H9" s="7"/>
      <c r="J9" s="78"/>
      <c r="K9" s="79"/>
      <c r="L9" s="79"/>
      <c r="M9" s="79"/>
      <c r="N9" s="80"/>
    </row>
    <row r="10" spans="1:14" ht="15.75" customHeight="1" x14ac:dyDescent="0.25">
      <c r="A10" s="46">
        <f t="shared" si="0"/>
        <v>7</v>
      </c>
      <c r="B10" s="12">
        <v>0.98</v>
      </c>
      <c r="C10" s="6"/>
      <c r="D10" s="6"/>
      <c r="E10" s="6"/>
      <c r="F10" s="14"/>
      <c r="G10" s="6"/>
      <c r="H10" s="7"/>
      <c r="J10" s="78"/>
      <c r="K10" s="79"/>
      <c r="L10" s="79"/>
      <c r="M10" s="79"/>
      <c r="N10" s="80"/>
    </row>
    <row r="11" spans="1:14" ht="15.75" customHeight="1" x14ac:dyDescent="0.25">
      <c r="A11" s="47">
        <f t="shared" si="0"/>
        <v>8</v>
      </c>
      <c r="B11" s="13">
        <v>1.72</v>
      </c>
      <c r="C11" s="6"/>
      <c r="D11" s="6"/>
      <c r="E11" s="6"/>
      <c r="F11" s="14"/>
      <c r="G11" s="6"/>
      <c r="H11" s="7"/>
      <c r="J11" s="78"/>
      <c r="K11" s="79"/>
      <c r="L11" s="79"/>
      <c r="M11" s="79"/>
      <c r="N11" s="80"/>
    </row>
    <row r="12" spans="1:14" ht="15.75" customHeight="1" x14ac:dyDescent="0.25">
      <c r="A12" s="46">
        <f t="shared" si="0"/>
        <v>9</v>
      </c>
      <c r="B12" s="12">
        <v>0.76</v>
      </c>
      <c r="C12" s="6"/>
      <c r="D12" s="6"/>
      <c r="E12" s="6"/>
      <c r="F12" s="14"/>
      <c r="G12" s="6"/>
      <c r="H12" s="7"/>
      <c r="J12" s="78"/>
      <c r="K12" s="79"/>
      <c r="L12" s="79"/>
      <c r="M12" s="79"/>
      <c r="N12" s="80"/>
    </row>
    <row r="13" spans="1:14" ht="15.75" customHeight="1" x14ac:dyDescent="0.25">
      <c r="A13" s="47">
        <f t="shared" si="0"/>
        <v>10</v>
      </c>
      <c r="B13" s="13">
        <v>0.81</v>
      </c>
      <c r="C13" s="6"/>
      <c r="D13" s="6"/>
      <c r="E13" s="6"/>
      <c r="F13" s="14"/>
      <c r="G13" s="6"/>
      <c r="H13" s="7"/>
      <c r="J13" s="78"/>
      <c r="K13" s="79"/>
      <c r="L13" s="79"/>
      <c r="M13" s="79"/>
      <c r="N13" s="80"/>
    </row>
    <row r="14" spans="1:14" ht="15.75" customHeight="1" x14ac:dyDescent="0.25">
      <c r="A14" s="46">
        <f t="shared" si="0"/>
        <v>11</v>
      </c>
      <c r="B14" s="12">
        <v>1.43</v>
      </c>
      <c r="C14" s="6"/>
      <c r="D14" s="6"/>
      <c r="E14" s="6"/>
      <c r="F14" s="14"/>
      <c r="G14" s="6"/>
      <c r="H14" s="7"/>
      <c r="J14" s="78"/>
      <c r="K14" s="79"/>
      <c r="L14" s="79"/>
      <c r="M14" s="79"/>
      <c r="N14" s="80"/>
    </row>
    <row r="15" spans="1:14" ht="15.75" customHeight="1" x14ac:dyDescent="0.25">
      <c r="A15" s="47">
        <f t="shared" si="0"/>
        <v>12</v>
      </c>
      <c r="B15" s="13">
        <v>0.81</v>
      </c>
      <c r="C15" s="6"/>
      <c r="D15" s="6"/>
      <c r="E15" s="6"/>
      <c r="F15" s="14"/>
      <c r="G15" s="6"/>
      <c r="H15" s="7"/>
      <c r="J15" s="78"/>
      <c r="K15" s="79"/>
      <c r="L15" s="79"/>
      <c r="M15" s="79"/>
      <c r="N15" s="80"/>
    </row>
    <row r="16" spans="1:14" ht="15.75" customHeight="1" x14ac:dyDescent="0.25">
      <c r="A16" s="46">
        <f t="shared" si="0"/>
        <v>13</v>
      </c>
      <c r="B16" s="12">
        <v>0.86</v>
      </c>
      <c r="C16" s="6"/>
      <c r="D16" s="6"/>
      <c r="E16" s="6"/>
      <c r="F16" s="14"/>
      <c r="G16" s="6"/>
      <c r="H16" s="7"/>
      <c r="J16" s="78"/>
      <c r="K16" s="79"/>
      <c r="L16" s="79"/>
      <c r="M16" s="79"/>
      <c r="N16" s="80"/>
    </row>
    <row r="17" spans="1:14" ht="15.75" customHeight="1" x14ac:dyDescent="0.25">
      <c r="A17" s="47">
        <f t="shared" si="0"/>
        <v>14</v>
      </c>
      <c r="B17" s="13">
        <v>0.79</v>
      </c>
      <c r="C17" s="6"/>
      <c r="D17" s="6"/>
      <c r="E17" s="6"/>
      <c r="F17" s="14"/>
      <c r="G17" s="6"/>
      <c r="H17" s="7"/>
      <c r="J17" s="78"/>
      <c r="K17" s="79"/>
      <c r="L17" s="79"/>
      <c r="M17" s="79"/>
      <c r="N17" s="80"/>
    </row>
    <row r="18" spans="1:14" ht="15.75" customHeight="1" x14ac:dyDescent="0.25">
      <c r="A18" s="46">
        <f t="shared" si="0"/>
        <v>15</v>
      </c>
      <c r="B18" s="12">
        <v>1.25</v>
      </c>
      <c r="C18" s="6"/>
      <c r="D18" s="6"/>
      <c r="E18" s="6"/>
      <c r="F18" s="14"/>
      <c r="G18" s="6"/>
      <c r="H18" s="7"/>
      <c r="J18" s="78"/>
      <c r="K18" s="79"/>
      <c r="L18" s="79"/>
      <c r="M18" s="79"/>
      <c r="N18" s="80"/>
    </row>
    <row r="19" spans="1:14" ht="15.75" customHeight="1" x14ac:dyDescent="0.25">
      <c r="A19" s="47">
        <f t="shared" si="0"/>
        <v>16</v>
      </c>
      <c r="B19" s="13">
        <v>0.79</v>
      </c>
      <c r="C19" s="6"/>
      <c r="D19" s="6"/>
      <c r="E19" s="6"/>
      <c r="F19" s="14"/>
      <c r="G19" s="6"/>
      <c r="H19" s="7"/>
      <c r="J19" s="78"/>
      <c r="K19" s="79"/>
      <c r="L19" s="79"/>
      <c r="M19" s="79"/>
      <c r="N19" s="80"/>
    </row>
    <row r="20" spans="1:14" ht="15.75" customHeight="1" x14ac:dyDescent="0.25">
      <c r="A20" s="46">
        <f t="shared" si="0"/>
        <v>17</v>
      </c>
      <c r="B20" s="12">
        <v>0.99</v>
      </c>
      <c r="C20" s="6"/>
      <c r="D20" s="6"/>
      <c r="E20" s="6"/>
      <c r="F20" s="14"/>
      <c r="G20" s="6"/>
      <c r="H20" s="7"/>
      <c r="J20" s="78"/>
      <c r="K20" s="79"/>
      <c r="L20" s="79"/>
      <c r="M20" s="79"/>
      <c r="N20" s="80"/>
    </row>
    <row r="21" spans="1:14" ht="15.75" customHeight="1" x14ac:dyDescent="0.25">
      <c r="A21" s="47">
        <f t="shared" si="0"/>
        <v>18</v>
      </c>
      <c r="B21" s="13">
        <v>0.98</v>
      </c>
      <c r="C21" s="6"/>
      <c r="D21" s="6"/>
      <c r="E21" s="6"/>
      <c r="F21" s="14"/>
      <c r="G21" s="6"/>
      <c r="H21" s="7"/>
      <c r="J21" s="78"/>
      <c r="K21" s="79"/>
      <c r="L21" s="79"/>
      <c r="M21" s="79"/>
      <c r="N21" s="80"/>
    </row>
    <row r="22" spans="1:14" ht="15.75" customHeight="1" x14ac:dyDescent="0.25">
      <c r="A22" s="46">
        <f t="shared" si="0"/>
        <v>19</v>
      </c>
      <c r="B22" s="12">
        <v>1.74</v>
      </c>
      <c r="C22" s="6"/>
      <c r="D22" s="6"/>
      <c r="E22" s="6"/>
      <c r="F22" s="14"/>
      <c r="G22" s="6"/>
      <c r="H22" s="7"/>
      <c r="J22" s="78"/>
      <c r="K22" s="79"/>
      <c r="L22" s="79"/>
      <c r="M22" s="79"/>
      <c r="N22" s="80"/>
    </row>
    <row r="23" spans="1:14" ht="15.75" customHeight="1" x14ac:dyDescent="0.25">
      <c r="A23" s="47">
        <f t="shared" si="0"/>
        <v>20</v>
      </c>
      <c r="B23" s="13">
        <v>0.87</v>
      </c>
      <c r="C23" s="6"/>
      <c r="D23" s="6"/>
      <c r="E23" s="6"/>
      <c r="F23" s="14"/>
      <c r="G23" s="6"/>
      <c r="H23" s="7"/>
      <c r="J23" s="78"/>
      <c r="K23" s="79"/>
      <c r="L23" s="79"/>
      <c r="M23" s="79"/>
      <c r="N23" s="80"/>
    </row>
    <row r="24" spans="1:14" ht="15.75" customHeight="1" x14ac:dyDescent="0.25">
      <c r="A24" s="46">
        <f t="shared" si="0"/>
        <v>21</v>
      </c>
      <c r="B24" s="12">
        <v>0.93</v>
      </c>
      <c r="C24" s="6"/>
      <c r="D24" s="6"/>
      <c r="E24" s="6"/>
      <c r="F24" s="14"/>
      <c r="G24" s="6"/>
      <c r="H24" s="7"/>
      <c r="J24" s="78"/>
      <c r="K24" s="79"/>
      <c r="L24" s="79"/>
      <c r="M24" s="79"/>
      <c r="N24" s="80"/>
    </row>
    <row r="25" spans="1:14" ht="15.75" customHeight="1" x14ac:dyDescent="0.25">
      <c r="A25" s="47">
        <f t="shared" si="0"/>
        <v>22</v>
      </c>
      <c r="B25" s="13">
        <v>1.22</v>
      </c>
      <c r="C25" s="6"/>
      <c r="D25" s="6"/>
      <c r="E25" s="6"/>
      <c r="F25" s="14"/>
      <c r="G25" s="6"/>
      <c r="H25" s="7"/>
      <c r="J25" s="78"/>
      <c r="K25" s="79"/>
      <c r="L25" s="79"/>
      <c r="M25" s="79"/>
      <c r="N25" s="80"/>
    </row>
    <row r="26" spans="1:14" ht="15.75" customHeight="1" x14ac:dyDescent="0.25">
      <c r="A26" s="46">
        <f t="shared" si="0"/>
        <v>23</v>
      </c>
      <c r="B26" s="12">
        <v>1.24</v>
      </c>
      <c r="C26" s="6"/>
      <c r="D26" s="6"/>
      <c r="E26" s="6"/>
      <c r="F26" s="14"/>
      <c r="G26" s="6"/>
      <c r="H26" s="7"/>
      <c r="J26" s="78"/>
      <c r="K26" s="79"/>
      <c r="L26" s="79"/>
      <c r="M26" s="79"/>
      <c r="N26" s="80"/>
    </row>
    <row r="27" spans="1:14" ht="15.75" customHeight="1" x14ac:dyDescent="0.25">
      <c r="A27" s="47">
        <f t="shared" si="0"/>
        <v>24</v>
      </c>
      <c r="B27" s="13">
        <v>1.26</v>
      </c>
      <c r="C27" s="6"/>
      <c r="D27" s="6"/>
      <c r="E27" s="6"/>
      <c r="F27" s="14"/>
      <c r="G27" s="6"/>
      <c r="H27" s="7"/>
      <c r="J27" s="78"/>
      <c r="K27" s="79"/>
      <c r="L27" s="79"/>
      <c r="M27" s="79"/>
      <c r="N27" s="80"/>
    </row>
    <row r="28" spans="1:14" ht="15.75" customHeight="1" x14ac:dyDescent="0.25">
      <c r="A28" s="46">
        <f t="shared" si="0"/>
        <v>25</v>
      </c>
      <c r="B28" s="12">
        <v>0</v>
      </c>
      <c r="C28" s="6"/>
      <c r="D28" s="6"/>
      <c r="E28" s="6"/>
      <c r="F28" s="14"/>
      <c r="G28" s="6"/>
      <c r="H28" s="7"/>
      <c r="J28" s="78"/>
      <c r="K28" s="79"/>
      <c r="L28" s="79"/>
      <c r="M28" s="79"/>
      <c r="N28" s="80"/>
    </row>
    <row r="29" spans="1:14" ht="15.75" customHeight="1" x14ac:dyDescent="0.25">
      <c r="A29" s="47">
        <f t="shared" si="0"/>
        <v>26</v>
      </c>
      <c r="B29" s="13">
        <v>1.0900000000000001</v>
      </c>
      <c r="C29" s="6"/>
      <c r="D29" s="6"/>
      <c r="E29" s="6"/>
      <c r="F29" s="14"/>
      <c r="G29" s="6"/>
      <c r="H29" s="7"/>
      <c r="J29" s="78"/>
      <c r="K29" s="79"/>
      <c r="L29" s="79"/>
      <c r="M29" s="79"/>
      <c r="N29" s="80"/>
    </row>
    <row r="30" spans="1:14" ht="15.75" customHeight="1" x14ac:dyDescent="0.25">
      <c r="A30" s="46">
        <f t="shared" si="0"/>
        <v>27</v>
      </c>
      <c r="B30" s="12">
        <v>1.17</v>
      </c>
      <c r="C30" s="6"/>
      <c r="D30" s="6"/>
      <c r="E30" s="6"/>
      <c r="F30" s="14"/>
      <c r="G30" s="6"/>
      <c r="H30" s="7"/>
      <c r="J30" s="78"/>
      <c r="K30" s="79"/>
      <c r="L30" s="79"/>
      <c r="M30" s="79"/>
      <c r="N30" s="80"/>
    </row>
    <row r="31" spans="1:14" ht="15.75" customHeight="1" x14ac:dyDescent="0.25">
      <c r="A31" s="47">
        <f t="shared" si="0"/>
        <v>28</v>
      </c>
      <c r="B31" s="13">
        <v>0.88</v>
      </c>
      <c r="C31" s="6"/>
      <c r="D31" s="6"/>
      <c r="E31" s="6"/>
      <c r="F31" s="14"/>
      <c r="G31" s="6"/>
      <c r="H31" s="7"/>
      <c r="J31" s="81"/>
      <c r="K31" s="82"/>
      <c r="L31" s="82"/>
      <c r="M31" s="82"/>
      <c r="N31" s="83"/>
    </row>
    <row r="32" spans="1:14" ht="15.75" customHeight="1" x14ac:dyDescent="0.25">
      <c r="A32" s="46">
        <f t="shared" si="0"/>
        <v>29</v>
      </c>
      <c r="B32" s="12">
        <v>1.1299999999999999</v>
      </c>
      <c r="C32" s="6"/>
      <c r="D32" s="6"/>
      <c r="E32" s="6"/>
      <c r="F32" s="14"/>
      <c r="G32" s="6"/>
      <c r="H32" s="7"/>
    </row>
    <row r="33" spans="1:8" ht="15.75" customHeight="1" x14ac:dyDescent="0.25">
      <c r="A33" s="47">
        <f t="shared" si="0"/>
        <v>30</v>
      </c>
      <c r="B33" s="13">
        <v>1.81</v>
      </c>
      <c r="C33" s="6"/>
      <c r="D33" s="6"/>
      <c r="E33" s="6"/>
      <c r="F33" s="14"/>
      <c r="G33" s="6"/>
      <c r="H33" s="7"/>
    </row>
    <row r="34" spans="1:8" ht="15.75" customHeight="1" x14ac:dyDescent="0.25">
      <c r="A34" s="46">
        <f t="shared" si="0"/>
        <v>31</v>
      </c>
      <c r="B34" s="12">
        <v>1.17</v>
      </c>
      <c r="C34" s="6"/>
      <c r="D34" s="6"/>
      <c r="E34" s="6"/>
      <c r="F34" s="14"/>
      <c r="G34" s="6"/>
      <c r="H34" s="7"/>
    </row>
    <row r="35" spans="1:8" ht="15.75" customHeight="1" x14ac:dyDescent="0.25">
      <c r="A35" s="47">
        <f t="shared" si="0"/>
        <v>32</v>
      </c>
      <c r="B35" s="13">
        <v>1.74</v>
      </c>
      <c r="C35" s="6"/>
      <c r="D35" s="6"/>
      <c r="E35" s="6"/>
      <c r="F35" s="14"/>
      <c r="G35" s="6"/>
      <c r="H35" s="7"/>
    </row>
    <row r="36" spans="1:8" ht="15.75" customHeight="1" x14ac:dyDescent="0.25">
      <c r="A36" s="46">
        <f t="shared" si="0"/>
        <v>33</v>
      </c>
      <c r="B36" s="12">
        <v>0.81</v>
      </c>
      <c r="C36" s="6"/>
      <c r="D36" s="6"/>
      <c r="E36" s="6"/>
      <c r="F36" s="14"/>
      <c r="G36" s="6"/>
      <c r="H36" s="7"/>
    </row>
    <row r="37" spans="1:8" ht="15.75" customHeight="1" x14ac:dyDescent="0.25">
      <c r="A37" s="47">
        <f t="shared" si="0"/>
        <v>34</v>
      </c>
      <c r="B37" s="13">
        <v>1.28</v>
      </c>
      <c r="C37" s="6"/>
      <c r="D37" s="6"/>
      <c r="E37" s="6"/>
      <c r="F37" s="14"/>
      <c r="G37" s="6"/>
      <c r="H37" s="7"/>
    </row>
    <row r="38" spans="1:8" ht="15.75" customHeight="1" x14ac:dyDescent="0.25">
      <c r="A38" s="46">
        <f t="shared" si="0"/>
        <v>35</v>
      </c>
      <c r="B38" s="12">
        <v>0</v>
      </c>
      <c r="C38" s="6"/>
      <c r="D38" s="6"/>
      <c r="E38" s="6"/>
      <c r="F38" s="14"/>
      <c r="G38" s="6"/>
      <c r="H38" s="7"/>
    </row>
    <row r="39" spans="1:8" ht="15.75" customHeight="1" x14ac:dyDescent="0.25">
      <c r="A39" s="47">
        <f t="shared" si="0"/>
        <v>36</v>
      </c>
      <c r="B39" s="13">
        <v>1.1100000000000001</v>
      </c>
      <c r="C39" s="6"/>
      <c r="D39" s="6"/>
      <c r="E39" s="6"/>
      <c r="F39" s="14"/>
      <c r="G39" s="6"/>
      <c r="H39" s="7"/>
    </row>
    <row r="40" spans="1:8" ht="15.75" customHeight="1" x14ac:dyDescent="0.25">
      <c r="A40" s="46">
        <f t="shared" si="0"/>
        <v>37</v>
      </c>
      <c r="B40" s="12">
        <v>1.17</v>
      </c>
      <c r="C40" s="6"/>
      <c r="D40" s="6"/>
      <c r="E40" s="6"/>
      <c r="F40" s="14"/>
      <c r="G40" s="6"/>
      <c r="H40" s="7"/>
    </row>
    <row r="41" spans="1:8" ht="15.75" customHeight="1" x14ac:dyDescent="0.25">
      <c r="A41" s="47">
        <f t="shared" si="0"/>
        <v>38</v>
      </c>
      <c r="B41" s="13">
        <v>1.22</v>
      </c>
      <c r="C41" s="6"/>
      <c r="D41" s="6"/>
      <c r="E41" s="6"/>
      <c r="F41" s="14"/>
      <c r="G41" s="6"/>
      <c r="H41" s="7"/>
    </row>
    <row r="42" spans="1:8" ht="15.75" customHeight="1" x14ac:dyDescent="0.25">
      <c r="A42" s="46">
        <f t="shared" si="0"/>
        <v>39</v>
      </c>
      <c r="B42" s="12">
        <v>1.26</v>
      </c>
      <c r="C42" s="6"/>
      <c r="D42" s="6"/>
      <c r="E42" s="6"/>
      <c r="F42" s="14"/>
      <c r="G42" s="6"/>
      <c r="H42" s="7"/>
    </row>
    <row r="43" spans="1:8" ht="15.75" customHeight="1" x14ac:dyDescent="0.25">
      <c r="A43" s="47">
        <f t="shared" si="0"/>
        <v>40</v>
      </c>
      <c r="B43" s="13">
        <v>1.01</v>
      </c>
      <c r="C43" s="6"/>
      <c r="D43" s="6"/>
      <c r="E43" s="6"/>
      <c r="F43" s="14"/>
      <c r="G43" s="6"/>
      <c r="H43" s="7"/>
    </row>
    <row r="44" spans="1:8" ht="15.75" customHeight="1" x14ac:dyDescent="0.25">
      <c r="A44" s="46">
        <f t="shared" si="0"/>
        <v>41</v>
      </c>
      <c r="B44" s="12">
        <v>2.62</v>
      </c>
      <c r="C44" s="6"/>
      <c r="D44" s="6"/>
      <c r="E44" s="6"/>
      <c r="F44" s="14"/>
      <c r="G44" s="6"/>
      <c r="H44" s="7"/>
    </row>
    <row r="45" spans="1:8" ht="15.75" customHeight="1" x14ac:dyDescent="0.25">
      <c r="A45" s="47">
        <f t="shared" si="0"/>
        <v>42</v>
      </c>
      <c r="B45" s="13">
        <v>1.44</v>
      </c>
      <c r="C45" s="6"/>
      <c r="D45" s="6"/>
      <c r="E45" s="6"/>
      <c r="F45" s="14"/>
      <c r="G45" s="6"/>
      <c r="H45" s="7"/>
    </row>
    <row r="46" spans="1:8" ht="15.75" customHeight="1" x14ac:dyDescent="0.25">
      <c r="A46" s="46">
        <f t="shared" si="0"/>
        <v>43</v>
      </c>
      <c r="B46" s="12">
        <v>1.24</v>
      </c>
      <c r="C46" s="6"/>
      <c r="D46" s="6"/>
      <c r="E46" s="6"/>
      <c r="F46" s="14"/>
      <c r="G46" s="6"/>
      <c r="H46" s="7"/>
    </row>
    <row r="47" spans="1:8" ht="15.75" customHeight="1" x14ac:dyDescent="0.25">
      <c r="A47" s="47">
        <f t="shared" si="0"/>
        <v>44</v>
      </c>
      <c r="B47" s="13">
        <v>1.05</v>
      </c>
      <c r="C47" s="6"/>
      <c r="D47" s="6"/>
      <c r="E47" s="6"/>
      <c r="F47" s="14"/>
      <c r="G47" s="6"/>
      <c r="H47" s="7"/>
    </row>
    <row r="48" spans="1:8" ht="15.75" customHeight="1" x14ac:dyDescent="0.25">
      <c r="A48" s="46">
        <f t="shared" si="0"/>
        <v>45</v>
      </c>
      <c r="B48" s="12">
        <v>1.02</v>
      </c>
      <c r="C48" s="6"/>
      <c r="D48" s="6"/>
      <c r="E48" s="6"/>
      <c r="F48" s="14"/>
      <c r="G48" s="6"/>
      <c r="H48" s="7"/>
    </row>
    <row r="49" spans="1:8" ht="15.75" customHeight="1" x14ac:dyDescent="0.25">
      <c r="A49" s="47">
        <f t="shared" si="0"/>
        <v>46</v>
      </c>
      <c r="B49" s="13">
        <v>0.99</v>
      </c>
      <c r="C49" s="6"/>
      <c r="D49" s="6"/>
      <c r="E49" s="6"/>
      <c r="F49" s="14"/>
      <c r="G49" s="6"/>
      <c r="H49" s="7"/>
    </row>
    <row r="50" spans="1:8" ht="15.75" customHeight="1" x14ac:dyDescent="0.25">
      <c r="A50" s="46">
        <f t="shared" si="0"/>
        <v>47</v>
      </c>
      <c r="B50" s="12">
        <v>0.9</v>
      </c>
      <c r="C50" s="6"/>
      <c r="D50" s="6"/>
      <c r="E50" s="6"/>
      <c r="F50" s="14"/>
      <c r="G50" s="6"/>
      <c r="H50" s="7"/>
    </row>
    <row r="51" spans="1:8" ht="15.75" customHeight="1" x14ac:dyDescent="0.25">
      <c r="A51" s="47">
        <f t="shared" si="0"/>
        <v>48</v>
      </c>
      <c r="B51" s="13">
        <v>0</v>
      </c>
      <c r="C51" s="6"/>
      <c r="D51" s="6"/>
      <c r="E51" s="6"/>
      <c r="F51" s="14"/>
      <c r="G51" s="6"/>
      <c r="H51" s="7"/>
    </row>
    <row r="52" spans="1:8" ht="15.75" customHeight="1" x14ac:dyDescent="0.25">
      <c r="A52" s="46">
        <f t="shared" si="0"/>
        <v>49</v>
      </c>
      <c r="B52" s="12">
        <v>1.1200000000000001</v>
      </c>
      <c r="C52" s="6"/>
      <c r="D52" s="6"/>
      <c r="E52" s="6"/>
      <c r="F52" s="14"/>
      <c r="G52" s="6"/>
      <c r="H52" s="7"/>
    </row>
    <row r="53" spans="1:8" ht="15.75" customHeight="1" x14ac:dyDescent="0.25">
      <c r="A53" s="47">
        <f t="shared" si="0"/>
        <v>50</v>
      </c>
      <c r="B53" s="13">
        <v>1.23</v>
      </c>
      <c r="C53" s="6"/>
      <c r="D53" s="6"/>
      <c r="E53" s="6"/>
      <c r="F53" s="14"/>
      <c r="G53" s="6"/>
      <c r="H53" s="7"/>
    </row>
    <row r="54" spans="1:8" ht="15.75" customHeight="1" x14ac:dyDescent="0.25">
      <c r="A54" s="46">
        <f t="shared" si="0"/>
        <v>51</v>
      </c>
      <c r="B54" s="12">
        <v>1.18</v>
      </c>
      <c r="C54" s="6"/>
      <c r="D54" s="6"/>
      <c r="E54" s="6"/>
      <c r="F54" s="14"/>
      <c r="G54" s="6"/>
      <c r="H54" s="7"/>
    </row>
    <row r="55" spans="1:8" ht="15.75" customHeight="1" x14ac:dyDescent="0.25">
      <c r="A55" s="47">
        <f t="shared" si="0"/>
        <v>52</v>
      </c>
      <c r="B55" s="13">
        <v>1.42</v>
      </c>
      <c r="C55" s="6"/>
      <c r="D55" s="6"/>
      <c r="E55" s="6"/>
      <c r="F55" s="14"/>
      <c r="G55" s="6"/>
      <c r="H55" s="7"/>
    </row>
    <row r="56" spans="1:8" ht="15.75" customHeight="1" x14ac:dyDescent="0.25">
      <c r="A56" s="46">
        <f t="shared" si="0"/>
        <v>53</v>
      </c>
      <c r="B56" s="12">
        <v>1.38</v>
      </c>
      <c r="C56" s="6"/>
      <c r="D56" s="6"/>
      <c r="E56" s="6"/>
      <c r="F56" s="14"/>
      <c r="G56" s="6"/>
      <c r="H56" s="7"/>
    </row>
    <row r="57" spans="1:8" ht="15.75" customHeight="1" x14ac:dyDescent="0.25">
      <c r="A57" s="47">
        <f t="shared" si="0"/>
        <v>54</v>
      </c>
      <c r="B57" s="13">
        <v>0.77</v>
      </c>
      <c r="C57" s="6"/>
      <c r="D57" s="6"/>
      <c r="E57" s="6"/>
      <c r="F57" s="14"/>
      <c r="G57" s="6"/>
      <c r="H57" s="7"/>
    </row>
    <row r="58" spans="1:8" ht="15.75" customHeight="1" x14ac:dyDescent="0.25">
      <c r="A58" s="46">
        <f t="shared" si="0"/>
        <v>55</v>
      </c>
      <c r="B58" s="12">
        <v>0.97</v>
      </c>
      <c r="C58" s="6"/>
      <c r="D58" s="6"/>
      <c r="E58" s="6"/>
      <c r="F58" s="14"/>
      <c r="G58" s="6"/>
      <c r="H58" s="7"/>
    </row>
    <row r="59" spans="1:8" ht="15.75" customHeight="1" x14ac:dyDescent="0.25">
      <c r="A59" s="47">
        <f t="shared" si="0"/>
        <v>56</v>
      </c>
      <c r="B59" s="13">
        <v>0.86</v>
      </c>
      <c r="C59" s="6"/>
      <c r="D59" s="6"/>
      <c r="E59" s="6"/>
      <c r="F59" s="14"/>
      <c r="G59" s="6"/>
      <c r="H59" s="7"/>
    </row>
    <row r="60" spans="1:8" ht="15.75" customHeight="1" x14ac:dyDescent="0.25">
      <c r="A60" s="46">
        <f t="shared" si="0"/>
        <v>57</v>
      </c>
      <c r="B60" s="12">
        <v>1.56</v>
      </c>
      <c r="C60" s="6"/>
      <c r="D60" s="6"/>
      <c r="E60" s="6"/>
      <c r="F60" s="14"/>
      <c r="G60" s="6"/>
      <c r="H60" s="7"/>
    </row>
    <row r="61" spans="1:8" ht="15.75" customHeight="1" x14ac:dyDescent="0.25">
      <c r="A61" s="47">
        <f t="shared" si="0"/>
        <v>58</v>
      </c>
      <c r="B61" s="13">
        <v>1.73</v>
      </c>
      <c r="C61" s="6"/>
      <c r="D61" s="6"/>
      <c r="E61" s="6"/>
      <c r="F61" s="14"/>
      <c r="G61" s="6"/>
      <c r="H61" s="7"/>
    </row>
    <row r="62" spans="1:8" ht="15.75" customHeight="1" x14ac:dyDescent="0.25">
      <c r="A62" s="46">
        <f t="shared" si="0"/>
        <v>59</v>
      </c>
      <c r="B62" s="12">
        <v>1.64</v>
      </c>
      <c r="C62" s="6"/>
      <c r="D62" s="6"/>
      <c r="E62" s="6"/>
      <c r="F62" s="14"/>
      <c r="G62" s="6"/>
      <c r="H62" s="7"/>
    </row>
    <row r="63" spans="1:8" ht="15.75" customHeight="1" x14ac:dyDescent="0.25">
      <c r="A63" s="48">
        <v>60</v>
      </c>
      <c r="B63" s="15">
        <v>1.49</v>
      </c>
      <c r="C63" s="10"/>
      <c r="D63" s="10"/>
      <c r="E63" s="10"/>
      <c r="F63" s="16"/>
      <c r="G63" s="10"/>
      <c r="H63" s="11"/>
    </row>
    <row r="64" spans="1:8" ht="15.75" customHeight="1" x14ac:dyDescent="0.25"/>
  </sheetData>
  <mergeCells count="4">
    <mergeCell ref="A1:D1"/>
    <mergeCell ref="G1:H1"/>
    <mergeCell ref="J1:N1"/>
    <mergeCell ref="J2:N31"/>
  </mergeCells>
  <conditionalFormatting sqref="F5:F63">
    <cfRule type="containsBlanks" dxfId="10" priority="1">
      <formula>LEN(TRIM(F5))=0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64"/>
  <sheetViews>
    <sheetView showGridLines="0" workbookViewId="0">
      <selection activeCell="G4" sqref="G4"/>
    </sheetView>
  </sheetViews>
  <sheetFormatPr defaultColWidth="12.6640625" defaultRowHeight="15" customHeight="1" x14ac:dyDescent="0.25"/>
  <cols>
    <col min="1" max="1" width="18.88671875" customWidth="1"/>
    <col min="2" max="6" width="12.6640625" customWidth="1"/>
    <col min="7" max="7" width="14.33203125" customWidth="1"/>
    <col min="9" max="9" width="3.21875" customWidth="1"/>
    <col min="15" max="15" width="3.21875" customWidth="1"/>
  </cols>
  <sheetData>
    <row r="1" spans="1:14" ht="24.6" x14ac:dyDescent="0.55000000000000004">
      <c r="A1" s="69" t="s">
        <v>13</v>
      </c>
      <c r="B1" s="70"/>
      <c r="C1" s="70"/>
      <c r="D1" s="70"/>
      <c r="E1" s="70"/>
      <c r="F1" s="1"/>
      <c r="G1" s="71" t="s">
        <v>2</v>
      </c>
      <c r="H1" s="72"/>
      <c r="J1" s="73" t="s">
        <v>3</v>
      </c>
      <c r="K1" s="74"/>
      <c r="L1" s="74"/>
      <c r="M1" s="74"/>
      <c r="N1" s="74"/>
    </row>
    <row r="2" spans="1:14" ht="15.75" customHeight="1" x14ac:dyDescent="0.4">
      <c r="A2" s="3"/>
      <c r="B2" s="3"/>
      <c r="C2" s="3"/>
      <c r="D2" s="3"/>
      <c r="E2" s="3"/>
      <c r="F2" s="3"/>
      <c r="G2" s="3"/>
      <c r="H2" s="3"/>
      <c r="J2" s="75" t="s">
        <v>27</v>
      </c>
      <c r="K2" s="76"/>
      <c r="L2" s="76"/>
      <c r="M2" s="76"/>
      <c r="N2" s="77"/>
    </row>
    <row r="3" spans="1:14" ht="15.75" customHeight="1" x14ac:dyDescent="0.25">
      <c r="A3" s="41" t="s">
        <v>4</v>
      </c>
      <c r="B3" s="42" t="s">
        <v>5</v>
      </c>
      <c r="C3" s="42" t="s">
        <v>6</v>
      </c>
      <c r="D3" s="42" t="s">
        <v>7</v>
      </c>
      <c r="E3" s="42" t="s">
        <v>8</v>
      </c>
      <c r="F3" s="42" t="s">
        <v>9</v>
      </c>
      <c r="G3" s="42" t="s">
        <v>10</v>
      </c>
      <c r="H3" s="42" t="s">
        <v>11</v>
      </c>
      <c r="J3" s="78"/>
      <c r="K3" s="79"/>
      <c r="L3" s="79"/>
      <c r="M3" s="79"/>
      <c r="N3" s="80"/>
    </row>
    <row r="4" spans="1:14" ht="15.75" customHeight="1" x14ac:dyDescent="0.25">
      <c r="A4" s="46">
        <v>1</v>
      </c>
      <c r="B4" s="12">
        <v>0</v>
      </c>
      <c r="C4" s="6"/>
      <c r="D4" s="6"/>
      <c r="E4" s="6"/>
      <c r="F4" s="17"/>
      <c r="G4" s="14"/>
      <c r="H4" s="7"/>
      <c r="J4" s="78"/>
      <c r="K4" s="79"/>
      <c r="L4" s="79"/>
      <c r="M4" s="79"/>
      <c r="N4" s="80"/>
    </row>
    <row r="5" spans="1:14" ht="15.75" customHeight="1" x14ac:dyDescent="0.25">
      <c r="A5" s="47">
        <f t="shared" ref="A5:A62" si="0">A4+1</f>
        <v>2</v>
      </c>
      <c r="B5" s="13">
        <v>0.82</v>
      </c>
      <c r="C5" s="6"/>
      <c r="D5" s="6"/>
      <c r="E5" s="6"/>
      <c r="F5" s="18">
        <f t="shared" ref="F5:F63" si="1">ABS(B4-B5)</f>
        <v>0.82</v>
      </c>
      <c r="G5" s="14"/>
      <c r="H5" s="7"/>
      <c r="J5" s="78"/>
      <c r="K5" s="79"/>
      <c r="L5" s="79"/>
      <c r="M5" s="79"/>
      <c r="N5" s="80"/>
    </row>
    <row r="6" spans="1:14" ht="15.75" customHeight="1" x14ac:dyDescent="0.25">
      <c r="A6" s="46">
        <f t="shared" si="0"/>
        <v>3</v>
      </c>
      <c r="B6" s="12">
        <v>0.98</v>
      </c>
      <c r="C6" s="6"/>
      <c r="D6" s="6"/>
      <c r="E6" s="6"/>
      <c r="F6" s="19">
        <f t="shared" si="1"/>
        <v>0.16000000000000003</v>
      </c>
      <c r="G6" s="14"/>
      <c r="H6" s="7"/>
      <c r="J6" s="78"/>
      <c r="K6" s="79"/>
      <c r="L6" s="79"/>
      <c r="M6" s="79"/>
      <c r="N6" s="80"/>
    </row>
    <row r="7" spans="1:14" ht="15.75" customHeight="1" x14ac:dyDescent="0.25">
      <c r="A7" s="47">
        <f t="shared" si="0"/>
        <v>4</v>
      </c>
      <c r="B7" s="13">
        <v>0.89</v>
      </c>
      <c r="C7" s="6"/>
      <c r="D7" s="6"/>
      <c r="E7" s="6"/>
      <c r="F7" s="18">
        <f t="shared" si="1"/>
        <v>8.9999999999999969E-2</v>
      </c>
      <c r="G7" s="14"/>
      <c r="H7" s="7"/>
      <c r="J7" s="78"/>
      <c r="K7" s="79"/>
      <c r="L7" s="79"/>
      <c r="M7" s="79"/>
      <c r="N7" s="80"/>
    </row>
    <row r="8" spans="1:14" ht="15.75" customHeight="1" x14ac:dyDescent="0.25">
      <c r="A8" s="46">
        <f t="shared" si="0"/>
        <v>5</v>
      </c>
      <c r="B8" s="12">
        <v>1.76</v>
      </c>
      <c r="C8" s="6"/>
      <c r="D8" s="6"/>
      <c r="E8" s="6"/>
      <c r="F8" s="19">
        <f t="shared" si="1"/>
        <v>0.87</v>
      </c>
      <c r="G8" s="14"/>
      <c r="H8" s="7"/>
      <c r="J8" s="78"/>
      <c r="K8" s="79"/>
      <c r="L8" s="79"/>
      <c r="M8" s="79"/>
      <c r="N8" s="80"/>
    </row>
    <row r="9" spans="1:14" ht="15.75" customHeight="1" x14ac:dyDescent="0.25">
      <c r="A9" s="47">
        <f t="shared" si="0"/>
        <v>6</v>
      </c>
      <c r="B9" s="13">
        <v>1.1200000000000001</v>
      </c>
      <c r="C9" s="6"/>
      <c r="D9" s="6"/>
      <c r="E9" s="6"/>
      <c r="F9" s="18">
        <f t="shared" si="1"/>
        <v>0.6399999999999999</v>
      </c>
      <c r="G9" s="14"/>
      <c r="H9" s="7"/>
      <c r="J9" s="78"/>
      <c r="K9" s="79"/>
      <c r="L9" s="79"/>
      <c r="M9" s="79"/>
      <c r="N9" s="80"/>
    </row>
    <row r="10" spans="1:14" ht="15.75" customHeight="1" x14ac:dyDescent="0.25">
      <c r="A10" s="46">
        <f t="shared" si="0"/>
        <v>7</v>
      </c>
      <c r="B10" s="12">
        <v>0.98</v>
      </c>
      <c r="C10" s="6"/>
      <c r="D10" s="6"/>
      <c r="E10" s="6"/>
      <c r="F10" s="19">
        <f t="shared" si="1"/>
        <v>0.14000000000000012</v>
      </c>
      <c r="G10" s="14"/>
      <c r="H10" s="7"/>
      <c r="J10" s="78"/>
      <c r="K10" s="79"/>
      <c r="L10" s="79"/>
      <c r="M10" s="79"/>
      <c r="N10" s="80"/>
    </row>
    <row r="11" spans="1:14" ht="15.75" customHeight="1" x14ac:dyDescent="0.25">
      <c r="A11" s="47">
        <f t="shared" si="0"/>
        <v>8</v>
      </c>
      <c r="B11" s="13">
        <v>1.72</v>
      </c>
      <c r="C11" s="6"/>
      <c r="D11" s="6"/>
      <c r="E11" s="6"/>
      <c r="F11" s="18">
        <f t="shared" si="1"/>
        <v>0.74</v>
      </c>
      <c r="G11" s="14"/>
      <c r="H11" s="7"/>
      <c r="J11" s="78"/>
      <c r="K11" s="79"/>
      <c r="L11" s="79"/>
      <c r="M11" s="79"/>
      <c r="N11" s="80"/>
    </row>
    <row r="12" spans="1:14" ht="15.75" customHeight="1" x14ac:dyDescent="0.25">
      <c r="A12" s="46">
        <f t="shared" si="0"/>
        <v>9</v>
      </c>
      <c r="B12" s="12">
        <v>0.76</v>
      </c>
      <c r="C12" s="6"/>
      <c r="D12" s="6"/>
      <c r="E12" s="6"/>
      <c r="F12" s="19">
        <f t="shared" si="1"/>
        <v>0.96</v>
      </c>
      <c r="G12" s="14"/>
      <c r="H12" s="7"/>
      <c r="J12" s="78"/>
      <c r="K12" s="79"/>
      <c r="L12" s="79"/>
      <c r="M12" s="79"/>
      <c r="N12" s="80"/>
    </row>
    <row r="13" spans="1:14" ht="15.75" customHeight="1" x14ac:dyDescent="0.25">
      <c r="A13" s="47">
        <f t="shared" si="0"/>
        <v>10</v>
      </c>
      <c r="B13" s="13">
        <v>0.81</v>
      </c>
      <c r="C13" s="6"/>
      <c r="D13" s="6"/>
      <c r="E13" s="6"/>
      <c r="F13" s="18">
        <f t="shared" si="1"/>
        <v>5.0000000000000044E-2</v>
      </c>
      <c r="G13" s="14"/>
      <c r="H13" s="7"/>
      <c r="J13" s="78"/>
      <c r="K13" s="79"/>
      <c r="L13" s="79"/>
      <c r="M13" s="79"/>
      <c r="N13" s="80"/>
    </row>
    <row r="14" spans="1:14" ht="15.75" customHeight="1" x14ac:dyDescent="0.25">
      <c r="A14" s="46">
        <f t="shared" si="0"/>
        <v>11</v>
      </c>
      <c r="B14" s="12">
        <v>1.43</v>
      </c>
      <c r="C14" s="6"/>
      <c r="D14" s="6"/>
      <c r="E14" s="6"/>
      <c r="F14" s="19">
        <f t="shared" si="1"/>
        <v>0.61999999999999988</v>
      </c>
      <c r="G14" s="14"/>
      <c r="H14" s="7"/>
      <c r="J14" s="78"/>
      <c r="K14" s="79"/>
      <c r="L14" s="79"/>
      <c r="M14" s="79"/>
      <c r="N14" s="80"/>
    </row>
    <row r="15" spans="1:14" ht="15.75" customHeight="1" x14ac:dyDescent="0.25">
      <c r="A15" s="47">
        <f t="shared" si="0"/>
        <v>12</v>
      </c>
      <c r="B15" s="13">
        <v>0.81</v>
      </c>
      <c r="C15" s="6"/>
      <c r="D15" s="6"/>
      <c r="E15" s="6"/>
      <c r="F15" s="18">
        <f t="shared" si="1"/>
        <v>0.61999999999999988</v>
      </c>
      <c r="G15" s="14"/>
      <c r="H15" s="7"/>
      <c r="J15" s="78"/>
      <c r="K15" s="79"/>
      <c r="L15" s="79"/>
      <c r="M15" s="79"/>
      <c r="N15" s="80"/>
    </row>
    <row r="16" spans="1:14" ht="15.75" customHeight="1" x14ac:dyDescent="0.25">
      <c r="A16" s="46">
        <f t="shared" si="0"/>
        <v>13</v>
      </c>
      <c r="B16" s="12">
        <v>0.86</v>
      </c>
      <c r="C16" s="6"/>
      <c r="D16" s="6"/>
      <c r="E16" s="6"/>
      <c r="F16" s="19">
        <f t="shared" si="1"/>
        <v>4.9999999999999933E-2</v>
      </c>
      <c r="G16" s="14"/>
      <c r="H16" s="7"/>
      <c r="J16" s="78"/>
      <c r="K16" s="79"/>
      <c r="L16" s="79"/>
      <c r="M16" s="79"/>
      <c r="N16" s="80"/>
    </row>
    <row r="17" spans="1:14" ht="15.75" customHeight="1" x14ac:dyDescent="0.25">
      <c r="A17" s="47">
        <f t="shared" si="0"/>
        <v>14</v>
      </c>
      <c r="B17" s="13">
        <v>0.79</v>
      </c>
      <c r="C17" s="6"/>
      <c r="D17" s="6"/>
      <c r="E17" s="6"/>
      <c r="F17" s="18">
        <f t="shared" si="1"/>
        <v>6.9999999999999951E-2</v>
      </c>
      <c r="G17" s="14"/>
      <c r="H17" s="7"/>
      <c r="J17" s="78"/>
      <c r="K17" s="79"/>
      <c r="L17" s="79"/>
      <c r="M17" s="79"/>
      <c r="N17" s="80"/>
    </row>
    <row r="18" spans="1:14" ht="15.75" customHeight="1" x14ac:dyDescent="0.25">
      <c r="A18" s="46">
        <f t="shared" si="0"/>
        <v>15</v>
      </c>
      <c r="B18" s="12">
        <v>1.25</v>
      </c>
      <c r="C18" s="6"/>
      <c r="D18" s="6"/>
      <c r="E18" s="6"/>
      <c r="F18" s="19">
        <f t="shared" si="1"/>
        <v>0.45999999999999996</v>
      </c>
      <c r="G18" s="14"/>
      <c r="H18" s="7"/>
      <c r="J18" s="78"/>
      <c r="K18" s="79"/>
      <c r="L18" s="79"/>
      <c r="M18" s="79"/>
      <c r="N18" s="80"/>
    </row>
    <row r="19" spans="1:14" ht="15.75" customHeight="1" x14ac:dyDescent="0.25">
      <c r="A19" s="47">
        <f t="shared" si="0"/>
        <v>16</v>
      </c>
      <c r="B19" s="13">
        <v>0.79</v>
      </c>
      <c r="C19" s="6"/>
      <c r="D19" s="6"/>
      <c r="E19" s="6"/>
      <c r="F19" s="18">
        <f t="shared" si="1"/>
        <v>0.45999999999999996</v>
      </c>
      <c r="G19" s="14"/>
      <c r="H19" s="7"/>
      <c r="J19" s="78"/>
      <c r="K19" s="79"/>
      <c r="L19" s="79"/>
      <c r="M19" s="79"/>
      <c r="N19" s="80"/>
    </row>
    <row r="20" spans="1:14" ht="15.75" customHeight="1" x14ac:dyDescent="0.25">
      <c r="A20" s="46">
        <f t="shared" si="0"/>
        <v>17</v>
      </c>
      <c r="B20" s="12">
        <v>0.99</v>
      </c>
      <c r="C20" s="6"/>
      <c r="D20" s="6"/>
      <c r="E20" s="6"/>
      <c r="F20" s="19">
        <f t="shared" si="1"/>
        <v>0.19999999999999996</v>
      </c>
      <c r="G20" s="14"/>
      <c r="H20" s="7"/>
      <c r="J20" s="78"/>
      <c r="K20" s="79"/>
      <c r="L20" s="79"/>
      <c r="M20" s="79"/>
      <c r="N20" s="80"/>
    </row>
    <row r="21" spans="1:14" ht="15.75" customHeight="1" x14ac:dyDescent="0.25">
      <c r="A21" s="47">
        <f t="shared" si="0"/>
        <v>18</v>
      </c>
      <c r="B21" s="13">
        <v>0.98</v>
      </c>
      <c r="C21" s="6"/>
      <c r="D21" s="6"/>
      <c r="E21" s="6"/>
      <c r="F21" s="18">
        <f t="shared" si="1"/>
        <v>1.0000000000000009E-2</v>
      </c>
      <c r="G21" s="14"/>
      <c r="H21" s="7"/>
      <c r="J21" s="78"/>
      <c r="K21" s="79"/>
      <c r="L21" s="79"/>
      <c r="M21" s="79"/>
      <c r="N21" s="80"/>
    </row>
    <row r="22" spans="1:14" ht="15.75" customHeight="1" x14ac:dyDescent="0.25">
      <c r="A22" s="46">
        <f t="shared" si="0"/>
        <v>19</v>
      </c>
      <c r="B22" s="12">
        <v>1.74</v>
      </c>
      <c r="C22" s="6"/>
      <c r="D22" s="6"/>
      <c r="E22" s="6"/>
      <c r="F22" s="19">
        <f t="shared" si="1"/>
        <v>0.76</v>
      </c>
      <c r="G22" s="14"/>
      <c r="H22" s="7"/>
      <c r="J22" s="81"/>
      <c r="K22" s="82"/>
      <c r="L22" s="82"/>
      <c r="M22" s="82"/>
      <c r="N22" s="83"/>
    </row>
    <row r="23" spans="1:14" ht="15.75" customHeight="1" x14ac:dyDescent="0.25">
      <c r="A23" s="47">
        <f t="shared" si="0"/>
        <v>20</v>
      </c>
      <c r="B23" s="13">
        <v>0.87</v>
      </c>
      <c r="C23" s="6"/>
      <c r="D23" s="6"/>
      <c r="E23" s="6"/>
      <c r="F23" s="18">
        <f t="shared" si="1"/>
        <v>0.87</v>
      </c>
      <c r="G23" s="14"/>
      <c r="H23" s="7"/>
    </row>
    <row r="24" spans="1:14" ht="15.75" customHeight="1" x14ac:dyDescent="0.25">
      <c r="A24" s="46">
        <f t="shared" si="0"/>
        <v>21</v>
      </c>
      <c r="B24" s="12">
        <v>0.93</v>
      </c>
      <c r="C24" s="6"/>
      <c r="D24" s="6"/>
      <c r="E24" s="6"/>
      <c r="F24" s="19">
        <f t="shared" si="1"/>
        <v>6.0000000000000053E-2</v>
      </c>
      <c r="G24" s="14"/>
      <c r="H24" s="7"/>
    </row>
    <row r="25" spans="1:14" ht="15.75" customHeight="1" x14ac:dyDescent="0.25">
      <c r="A25" s="47">
        <f t="shared" si="0"/>
        <v>22</v>
      </c>
      <c r="B25" s="13">
        <v>1.22</v>
      </c>
      <c r="C25" s="6"/>
      <c r="D25" s="6"/>
      <c r="E25" s="6"/>
      <c r="F25" s="18">
        <f t="shared" si="1"/>
        <v>0.28999999999999992</v>
      </c>
      <c r="G25" s="14"/>
      <c r="H25" s="7"/>
    </row>
    <row r="26" spans="1:14" ht="15.75" customHeight="1" x14ac:dyDescent="0.25">
      <c r="A26" s="46">
        <f t="shared" si="0"/>
        <v>23</v>
      </c>
      <c r="B26" s="12">
        <v>1.24</v>
      </c>
      <c r="C26" s="6"/>
      <c r="D26" s="6"/>
      <c r="E26" s="6"/>
      <c r="F26" s="19">
        <f t="shared" si="1"/>
        <v>2.0000000000000018E-2</v>
      </c>
      <c r="G26" s="14"/>
      <c r="H26" s="7"/>
    </row>
    <row r="27" spans="1:14" ht="15.75" customHeight="1" x14ac:dyDescent="0.25">
      <c r="A27" s="47">
        <f t="shared" si="0"/>
        <v>24</v>
      </c>
      <c r="B27" s="13">
        <v>1.26</v>
      </c>
      <c r="C27" s="6"/>
      <c r="D27" s="6"/>
      <c r="E27" s="6"/>
      <c r="F27" s="18">
        <f t="shared" si="1"/>
        <v>2.0000000000000018E-2</v>
      </c>
      <c r="G27" s="14"/>
      <c r="H27" s="7"/>
    </row>
    <row r="28" spans="1:14" ht="15.75" customHeight="1" x14ac:dyDescent="0.25">
      <c r="A28" s="46">
        <f t="shared" si="0"/>
        <v>25</v>
      </c>
      <c r="B28" s="12">
        <v>0</v>
      </c>
      <c r="C28" s="6"/>
      <c r="D28" s="6"/>
      <c r="E28" s="6"/>
      <c r="F28" s="19">
        <f t="shared" si="1"/>
        <v>1.26</v>
      </c>
      <c r="G28" s="14"/>
      <c r="H28" s="7"/>
    </row>
    <row r="29" spans="1:14" ht="15.75" customHeight="1" x14ac:dyDescent="0.25">
      <c r="A29" s="47">
        <f t="shared" si="0"/>
        <v>26</v>
      </c>
      <c r="B29" s="13">
        <v>1.0900000000000001</v>
      </c>
      <c r="C29" s="6"/>
      <c r="D29" s="6"/>
      <c r="E29" s="6"/>
      <c r="F29" s="18">
        <f t="shared" si="1"/>
        <v>1.0900000000000001</v>
      </c>
      <c r="G29" s="14"/>
      <c r="H29" s="7"/>
    </row>
    <row r="30" spans="1:14" ht="15.75" customHeight="1" x14ac:dyDescent="0.25">
      <c r="A30" s="46">
        <f t="shared" si="0"/>
        <v>27</v>
      </c>
      <c r="B30" s="12">
        <v>1.17</v>
      </c>
      <c r="C30" s="6"/>
      <c r="D30" s="6"/>
      <c r="E30" s="6"/>
      <c r="F30" s="19">
        <f t="shared" si="1"/>
        <v>7.9999999999999849E-2</v>
      </c>
      <c r="G30" s="14"/>
      <c r="H30" s="7"/>
    </row>
    <row r="31" spans="1:14" ht="15.75" customHeight="1" x14ac:dyDescent="0.25">
      <c r="A31" s="47">
        <f t="shared" si="0"/>
        <v>28</v>
      </c>
      <c r="B31" s="13">
        <v>0.88</v>
      </c>
      <c r="C31" s="6"/>
      <c r="D31" s="6"/>
      <c r="E31" s="6"/>
      <c r="F31" s="18">
        <f t="shared" si="1"/>
        <v>0.28999999999999992</v>
      </c>
      <c r="G31" s="14"/>
      <c r="H31" s="7"/>
    </row>
    <row r="32" spans="1:14" ht="15.75" customHeight="1" x14ac:dyDescent="0.25">
      <c r="A32" s="46">
        <f t="shared" si="0"/>
        <v>29</v>
      </c>
      <c r="B32" s="12">
        <v>1.1299999999999999</v>
      </c>
      <c r="C32" s="6"/>
      <c r="D32" s="6"/>
      <c r="E32" s="6"/>
      <c r="F32" s="19">
        <f t="shared" si="1"/>
        <v>0.24999999999999989</v>
      </c>
      <c r="G32" s="14"/>
      <c r="H32" s="7"/>
    </row>
    <row r="33" spans="1:8" ht="15.75" customHeight="1" x14ac:dyDescent="0.25">
      <c r="A33" s="47">
        <f t="shared" si="0"/>
        <v>30</v>
      </c>
      <c r="B33" s="13">
        <v>1.81</v>
      </c>
      <c r="C33" s="6"/>
      <c r="D33" s="6"/>
      <c r="E33" s="6"/>
      <c r="F33" s="18">
        <f t="shared" si="1"/>
        <v>0.68000000000000016</v>
      </c>
      <c r="G33" s="14"/>
      <c r="H33" s="7"/>
    </row>
    <row r="34" spans="1:8" ht="15.75" customHeight="1" x14ac:dyDescent="0.25">
      <c r="A34" s="46">
        <f t="shared" si="0"/>
        <v>31</v>
      </c>
      <c r="B34" s="12">
        <v>1.17</v>
      </c>
      <c r="C34" s="6"/>
      <c r="D34" s="6"/>
      <c r="E34" s="6"/>
      <c r="F34" s="19">
        <f t="shared" si="1"/>
        <v>0.64000000000000012</v>
      </c>
      <c r="G34" s="14"/>
      <c r="H34" s="7"/>
    </row>
    <row r="35" spans="1:8" ht="15.75" customHeight="1" x14ac:dyDescent="0.25">
      <c r="A35" s="47">
        <f t="shared" si="0"/>
        <v>32</v>
      </c>
      <c r="B35" s="13">
        <v>1.74</v>
      </c>
      <c r="C35" s="6"/>
      <c r="D35" s="6"/>
      <c r="E35" s="6"/>
      <c r="F35" s="18">
        <f t="shared" si="1"/>
        <v>0.57000000000000006</v>
      </c>
      <c r="G35" s="14"/>
      <c r="H35" s="7"/>
    </row>
    <row r="36" spans="1:8" ht="15.75" customHeight="1" x14ac:dyDescent="0.25">
      <c r="A36" s="46">
        <f t="shared" si="0"/>
        <v>33</v>
      </c>
      <c r="B36" s="12">
        <v>0.81</v>
      </c>
      <c r="C36" s="6"/>
      <c r="D36" s="6"/>
      <c r="E36" s="6"/>
      <c r="F36" s="19">
        <f t="shared" si="1"/>
        <v>0.92999999999999994</v>
      </c>
      <c r="G36" s="14"/>
      <c r="H36" s="7"/>
    </row>
    <row r="37" spans="1:8" ht="15.75" customHeight="1" x14ac:dyDescent="0.25">
      <c r="A37" s="47">
        <f t="shared" si="0"/>
        <v>34</v>
      </c>
      <c r="B37" s="13">
        <v>1.28</v>
      </c>
      <c r="C37" s="6"/>
      <c r="D37" s="6"/>
      <c r="E37" s="6"/>
      <c r="F37" s="18">
        <f t="shared" si="1"/>
        <v>0.47</v>
      </c>
      <c r="G37" s="14"/>
      <c r="H37" s="7"/>
    </row>
    <row r="38" spans="1:8" ht="15.75" customHeight="1" x14ac:dyDescent="0.25">
      <c r="A38" s="46">
        <f t="shared" si="0"/>
        <v>35</v>
      </c>
      <c r="B38" s="12">
        <v>0</v>
      </c>
      <c r="C38" s="6"/>
      <c r="D38" s="6"/>
      <c r="E38" s="6"/>
      <c r="F38" s="19">
        <f t="shared" si="1"/>
        <v>1.28</v>
      </c>
      <c r="G38" s="14"/>
      <c r="H38" s="7"/>
    </row>
    <row r="39" spans="1:8" ht="15.75" customHeight="1" x14ac:dyDescent="0.25">
      <c r="A39" s="47">
        <f t="shared" si="0"/>
        <v>36</v>
      </c>
      <c r="B39" s="13">
        <v>1.1100000000000001</v>
      </c>
      <c r="C39" s="6"/>
      <c r="D39" s="6"/>
      <c r="E39" s="6"/>
      <c r="F39" s="18">
        <f t="shared" si="1"/>
        <v>1.1100000000000001</v>
      </c>
      <c r="G39" s="14"/>
      <c r="H39" s="7"/>
    </row>
    <row r="40" spans="1:8" ht="15.75" customHeight="1" x14ac:dyDescent="0.25">
      <c r="A40" s="46">
        <f t="shared" si="0"/>
        <v>37</v>
      </c>
      <c r="B40" s="12">
        <v>1.17</v>
      </c>
      <c r="C40" s="6"/>
      <c r="D40" s="6"/>
      <c r="E40" s="6"/>
      <c r="F40" s="19">
        <f t="shared" si="1"/>
        <v>5.9999999999999831E-2</v>
      </c>
      <c r="G40" s="14"/>
      <c r="H40" s="7"/>
    </row>
    <row r="41" spans="1:8" ht="15.75" customHeight="1" x14ac:dyDescent="0.25">
      <c r="A41" s="47">
        <f t="shared" si="0"/>
        <v>38</v>
      </c>
      <c r="B41" s="13">
        <v>1.22</v>
      </c>
      <c r="C41" s="6"/>
      <c r="D41" s="6"/>
      <c r="E41" s="6"/>
      <c r="F41" s="18">
        <f t="shared" si="1"/>
        <v>5.0000000000000044E-2</v>
      </c>
      <c r="G41" s="14"/>
      <c r="H41" s="7"/>
    </row>
    <row r="42" spans="1:8" ht="15.75" customHeight="1" x14ac:dyDescent="0.25">
      <c r="A42" s="46">
        <f t="shared" si="0"/>
        <v>39</v>
      </c>
      <c r="B42" s="12">
        <v>1.26</v>
      </c>
      <c r="C42" s="6"/>
      <c r="D42" s="6"/>
      <c r="E42" s="6"/>
      <c r="F42" s="19">
        <f t="shared" si="1"/>
        <v>4.0000000000000036E-2</v>
      </c>
      <c r="G42" s="14"/>
      <c r="H42" s="7"/>
    </row>
    <row r="43" spans="1:8" ht="15.75" customHeight="1" x14ac:dyDescent="0.25">
      <c r="A43" s="47">
        <f t="shared" si="0"/>
        <v>40</v>
      </c>
      <c r="B43" s="13">
        <v>1.01</v>
      </c>
      <c r="C43" s="6"/>
      <c r="D43" s="6"/>
      <c r="E43" s="6"/>
      <c r="F43" s="18">
        <f t="shared" si="1"/>
        <v>0.25</v>
      </c>
      <c r="G43" s="14"/>
      <c r="H43" s="7"/>
    </row>
    <row r="44" spans="1:8" ht="15.75" customHeight="1" x14ac:dyDescent="0.25">
      <c r="A44" s="46">
        <f t="shared" si="0"/>
        <v>41</v>
      </c>
      <c r="B44" s="12">
        <v>2.62</v>
      </c>
      <c r="C44" s="6"/>
      <c r="D44" s="6"/>
      <c r="E44" s="6"/>
      <c r="F44" s="19">
        <f t="shared" si="1"/>
        <v>1.61</v>
      </c>
      <c r="G44" s="14"/>
      <c r="H44" s="7"/>
    </row>
    <row r="45" spans="1:8" ht="15.75" customHeight="1" x14ac:dyDescent="0.25">
      <c r="A45" s="47">
        <f t="shared" si="0"/>
        <v>42</v>
      </c>
      <c r="B45" s="13">
        <v>1.44</v>
      </c>
      <c r="C45" s="6"/>
      <c r="D45" s="6"/>
      <c r="E45" s="6"/>
      <c r="F45" s="18">
        <f t="shared" si="1"/>
        <v>1.1800000000000002</v>
      </c>
      <c r="G45" s="14"/>
      <c r="H45" s="7"/>
    </row>
    <row r="46" spans="1:8" ht="15.75" customHeight="1" x14ac:dyDescent="0.25">
      <c r="A46" s="46">
        <f t="shared" si="0"/>
        <v>43</v>
      </c>
      <c r="B46" s="12">
        <v>1.24</v>
      </c>
      <c r="C46" s="6"/>
      <c r="D46" s="6"/>
      <c r="E46" s="6"/>
      <c r="F46" s="19">
        <f t="shared" si="1"/>
        <v>0.19999999999999996</v>
      </c>
      <c r="G46" s="14"/>
      <c r="H46" s="7"/>
    </row>
    <row r="47" spans="1:8" ht="15.75" customHeight="1" x14ac:dyDescent="0.25">
      <c r="A47" s="47">
        <f t="shared" si="0"/>
        <v>44</v>
      </c>
      <c r="B47" s="13">
        <v>1.05</v>
      </c>
      <c r="C47" s="6"/>
      <c r="D47" s="6"/>
      <c r="E47" s="6"/>
      <c r="F47" s="18">
        <f t="shared" si="1"/>
        <v>0.18999999999999995</v>
      </c>
      <c r="G47" s="14"/>
      <c r="H47" s="7"/>
    </row>
    <row r="48" spans="1:8" ht="15.75" customHeight="1" x14ac:dyDescent="0.25">
      <c r="A48" s="46">
        <f t="shared" si="0"/>
        <v>45</v>
      </c>
      <c r="B48" s="12">
        <v>1.02</v>
      </c>
      <c r="C48" s="6"/>
      <c r="D48" s="6"/>
      <c r="E48" s="6"/>
      <c r="F48" s="19">
        <f t="shared" si="1"/>
        <v>3.0000000000000027E-2</v>
      </c>
      <c r="G48" s="14"/>
      <c r="H48" s="7"/>
    </row>
    <row r="49" spans="1:8" ht="15.75" customHeight="1" x14ac:dyDescent="0.25">
      <c r="A49" s="47">
        <f t="shared" si="0"/>
        <v>46</v>
      </c>
      <c r="B49" s="13">
        <v>0.99</v>
      </c>
      <c r="C49" s="6"/>
      <c r="D49" s="6"/>
      <c r="E49" s="6"/>
      <c r="F49" s="18">
        <f t="shared" si="1"/>
        <v>3.0000000000000027E-2</v>
      </c>
      <c r="G49" s="14"/>
      <c r="H49" s="7"/>
    </row>
    <row r="50" spans="1:8" ht="15.75" customHeight="1" x14ac:dyDescent="0.25">
      <c r="A50" s="46">
        <f t="shared" si="0"/>
        <v>47</v>
      </c>
      <c r="B50" s="12">
        <v>0.9</v>
      </c>
      <c r="C50" s="6"/>
      <c r="D50" s="6"/>
      <c r="E50" s="6"/>
      <c r="F50" s="19">
        <f t="shared" si="1"/>
        <v>8.9999999999999969E-2</v>
      </c>
      <c r="G50" s="14"/>
      <c r="H50" s="7"/>
    </row>
    <row r="51" spans="1:8" ht="15.75" customHeight="1" x14ac:dyDescent="0.25">
      <c r="A51" s="47">
        <f t="shared" si="0"/>
        <v>48</v>
      </c>
      <c r="B51" s="13">
        <v>0</v>
      </c>
      <c r="C51" s="6"/>
      <c r="D51" s="6"/>
      <c r="E51" s="6"/>
      <c r="F51" s="18">
        <f t="shared" si="1"/>
        <v>0.9</v>
      </c>
      <c r="G51" s="14"/>
      <c r="H51" s="7"/>
    </row>
    <row r="52" spans="1:8" ht="15.75" customHeight="1" x14ac:dyDescent="0.25">
      <c r="A52" s="46">
        <f t="shared" si="0"/>
        <v>49</v>
      </c>
      <c r="B52" s="12">
        <v>1.1200000000000001</v>
      </c>
      <c r="C52" s="6"/>
      <c r="D52" s="6"/>
      <c r="E52" s="6"/>
      <c r="F52" s="19">
        <f t="shared" si="1"/>
        <v>1.1200000000000001</v>
      </c>
      <c r="G52" s="14"/>
      <c r="H52" s="7"/>
    </row>
    <row r="53" spans="1:8" ht="15.75" customHeight="1" x14ac:dyDescent="0.25">
      <c r="A53" s="47">
        <f t="shared" si="0"/>
        <v>50</v>
      </c>
      <c r="B53" s="13">
        <v>1.23</v>
      </c>
      <c r="C53" s="6"/>
      <c r="D53" s="6"/>
      <c r="E53" s="6"/>
      <c r="F53" s="18">
        <f t="shared" si="1"/>
        <v>0.10999999999999988</v>
      </c>
      <c r="G53" s="14"/>
      <c r="H53" s="7"/>
    </row>
    <row r="54" spans="1:8" ht="15.75" customHeight="1" x14ac:dyDescent="0.25">
      <c r="A54" s="46">
        <f t="shared" si="0"/>
        <v>51</v>
      </c>
      <c r="B54" s="12">
        <v>1.18</v>
      </c>
      <c r="C54" s="6"/>
      <c r="D54" s="6"/>
      <c r="E54" s="6"/>
      <c r="F54" s="19">
        <f t="shared" si="1"/>
        <v>5.0000000000000044E-2</v>
      </c>
      <c r="G54" s="14"/>
      <c r="H54" s="7"/>
    </row>
    <row r="55" spans="1:8" ht="15.75" customHeight="1" x14ac:dyDescent="0.25">
      <c r="A55" s="47">
        <f t="shared" si="0"/>
        <v>52</v>
      </c>
      <c r="B55" s="13">
        <v>1.42</v>
      </c>
      <c r="C55" s="6"/>
      <c r="D55" s="6"/>
      <c r="E55" s="6"/>
      <c r="F55" s="18">
        <f t="shared" si="1"/>
        <v>0.24</v>
      </c>
      <c r="G55" s="14"/>
      <c r="H55" s="7"/>
    </row>
    <row r="56" spans="1:8" ht="15.75" customHeight="1" x14ac:dyDescent="0.25">
      <c r="A56" s="46">
        <f t="shared" si="0"/>
        <v>53</v>
      </c>
      <c r="B56" s="12">
        <v>1.38</v>
      </c>
      <c r="C56" s="6"/>
      <c r="D56" s="6"/>
      <c r="E56" s="6"/>
      <c r="F56" s="19">
        <f t="shared" si="1"/>
        <v>4.0000000000000036E-2</v>
      </c>
      <c r="G56" s="14"/>
      <c r="H56" s="7"/>
    </row>
    <row r="57" spans="1:8" ht="15.75" customHeight="1" x14ac:dyDescent="0.25">
      <c r="A57" s="47">
        <f t="shared" si="0"/>
        <v>54</v>
      </c>
      <c r="B57" s="13">
        <v>0.77</v>
      </c>
      <c r="C57" s="6"/>
      <c r="D57" s="6"/>
      <c r="E57" s="6"/>
      <c r="F57" s="18">
        <f t="shared" si="1"/>
        <v>0.60999999999999988</v>
      </c>
      <c r="G57" s="14"/>
      <c r="H57" s="7"/>
    </row>
    <row r="58" spans="1:8" ht="15.75" customHeight="1" x14ac:dyDescent="0.25">
      <c r="A58" s="46">
        <f t="shared" si="0"/>
        <v>55</v>
      </c>
      <c r="B58" s="12">
        <v>0.97</v>
      </c>
      <c r="C58" s="6"/>
      <c r="D58" s="6"/>
      <c r="E58" s="6"/>
      <c r="F58" s="19">
        <f t="shared" si="1"/>
        <v>0.19999999999999996</v>
      </c>
      <c r="G58" s="14"/>
      <c r="H58" s="7"/>
    </row>
    <row r="59" spans="1:8" ht="15.75" customHeight="1" x14ac:dyDescent="0.25">
      <c r="A59" s="47">
        <f t="shared" si="0"/>
        <v>56</v>
      </c>
      <c r="B59" s="13">
        <v>0.86</v>
      </c>
      <c r="C59" s="6"/>
      <c r="D59" s="6"/>
      <c r="E59" s="6"/>
      <c r="F59" s="18">
        <f t="shared" si="1"/>
        <v>0.10999999999999999</v>
      </c>
      <c r="G59" s="14"/>
      <c r="H59" s="7"/>
    </row>
    <row r="60" spans="1:8" ht="15.75" customHeight="1" x14ac:dyDescent="0.25">
      <c r="A60" s="46">
        <f t="shared" si="0"/>
        <v>57</v>
      </c>
      <c r="B60" s="12">
        <v>1.56</v>
      </c>
      <c r="C60" s="6"/>
      <c r="D60" s="6"/>
      <c r="E60" s="6"/>
      <c r="F60" s="19">
        <f t="shared" si="1"/>
        <v>0.70000000000000007</v>
      </c>
      <c r="G60" s="14"/>
      <c r="H60" s="7"/>
    </row>
    <row r="61" spans="1:8" ht="15.75" customHeight="1" x14ac:dyDescent="0.25">
      <c r="A61" s="47">
        <f t="shared" si="0"/>
        <v>58</v>
      </c>
      <c r="B61" s="13">
        <v>1.73</v>
      </c>
      <c r="C61" s="6"/>
      <c r="D61" s="6"/>
      <c r="E61" s="6"/>
      <c r="F61" s="18">
        <f t="shared" si="1"/>
        <v>0.16999999999999993</v>
      </c>
      <c r="G61" s="14"/>
      <c r="H61" s="7"/>
    </row>
    <row r="62" spans="1:8" ht="15.75" customHeight="1" x14ac:dyDescent="0.25">
      <c r="A62" s="46">
        <f t="shared" si="0"/>
        <v>59</v>
      </c>
      <c r="B62" s="12">
        <v>1.64</v>
      </c>
      <c r="C62" s="6"/>
      <c r="D62" s="6"/>
      <c r="E62" s="6"/>
      <c r="F62" s="19">
        <f t="shared" si="1"/>
        <v>9.000000000000008E-2</v>
      </c>
      <c r="G62" s="14"/>
      <c r="H62" s="7"/>
    </row>
    <row r="63" spans="1:8" ht="15.75" customHeight="1" x14ac:dyDescent="0.25">
      <c r="A63" s="48">
        <v>60</v>
      </c>
      <c r="B63" s="15">
        <v>1.49</v>
      </c>
      <c r="C63" s="10"/>
      <c r="D63" s="10"/>
      <c r="E63" s="10"/>
      <c r="F63" s="20">
        <f t="shared" si="1"/>
        <v>0.14999999999999991</v>
      </c>
      <c r="G63" s="16"/>
      <c r="H63" s="11"/>
    </row>
    <row r="64" spans="1:8" ht="15.75" customHeight="1" x14ac:dyDescent="0.25"/>
  </sheetData>
  <mergeCells count="4">
    <mergeCell ref="A1:E1"/>
    <mergeCell ref="G1:H1"/>
    <mergeCell ref="J1:N1"/>
    <mergeCell ref="J2:N22"/>
  </mergeCells>
  <conditionalFormatting sqref="A2">
    <cfRule type="notContainsBlanks" dxfId="9" priority="1">
      <formula>LEN(TRIM(A2))&gt;0</formula>
    </cfRule>
  </conditionalFormatting>
  <conditionalFormatting sqref="F5:F63">
    <cfRule type="containsBlanks" dxfId="8" priority="2">
      <formula>LEN(TRIM(F5))=0</formula>
    </cfRule>
  </conditionalFormatting>
  <conditionalFormatting sqref="G4:G63">
    <cfRule type="containsBlanks" dxfId="7" priority="3">
      <formula>LEN(TRIM(G4))=0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64"/>
  <sheetViews>
    <sheetView showGridLines="0" workbookViewId="0">
      <selection activeCell="J1" sqref="J1:N1"/>
    </sheetView>
  </sheetViews>
  <sheetFormatPr defaultColWidth="12.6640625" defaultRowHeight="15" customHeight="1" x14ac:dyDescent="0.25"/>
  <cols>
    <col min="1" max="1" width="18.88671875" customWidth="1"/>
    <col min="2" max="6" width="12.6640625" customWidth="1"/>
    <col min="7" max="7" width="13.88671875" customWidth="1"/>
    <col min="9" max="9" width="3.21875" customWidth="1"/>
    <col min="15" max="15" width="3.21875" customWidth="1"/>
  </cols>
  <sheetData>
    <row r="1" spans="1:14" ht="24.6" x14ac:dyDescent="0.55000000000000004">
      <c r="A1" s="69" t="s">
        <v>14</v>
      </c>
      <c r="B1" s="70"/>
      <c r="C1" s="70"/>
      <c r="D1" s="70"/>
      <c r="E1" s="2"/>
      <c r="F1" s="1"/>
      <c r="G1" s="71" t="s">
        <v>2</v>
      </c>
      <c r="H1" s="72"/>
      <c r="J1" s="73" t="s">
        <v>3</v>
      </c>
      <c r="K1" s="74"/>
      <c r="L1" s="74"/>
      <c r="M1" s="74"/>
      <c r="N1" s="74"/>
    </row>
    <row r="2" spans="1:14" ht="15.75" customHeight="1" x14ac:dyDescent="0.4">
      <c r="A2" s="3"/>
      <c r="B2" s="3"/>
      <c r="C2" s="3"/>
      <c r="D2" s="3"/>
      <c r="E2" s="3"/>
      <c r="F2" s="3"/>
      <c r="G2" s="3"/>
      <c r="H2" s="3"/>
      <c r="J2" s="75" t="s">
        <v>28</v>
      </c>
      <c r="K2" s="76"/>
      <c r="L2" s="76"/>
      <c r="M2" s="76"/>
      <c r="N2" s="77"/>
    </row>
    <row r="3" spans="1:14" ht="15.75" customHeight="1" x14ac:dyDescent="0.25">
      <c r="A3" s="41" t="s">
        <v>4</v>
      </c>
      <c r="B3" s="42" t="s">
        <v>5</v>
      </c>
      <c r="C3" s="42" t="s">
        <v>6</v>
      </c>
      <c r="D3" s="42" t="s">
        <v>7</v>
      </c>
      <c r="E3" s="42" t="s">
        <v>8</v>
      </c>
      <c r="F3" s="42" t="s">
        <v>9</v>
      </c>
      <c r="G3" s="42" t="s">
        <v>10</v>
      </c>
      <c r="H3" s="42" t="s">
        <v>11</v>
      </c>
      <c r="J3" s="78"/>
      <c r="K3" s="79"/>
      <c r="L3" s="79"/>
      <c r="M3" s="79"/>
      <c r="N3" s="80"/>
    </row>
    <row r="4" spans="1:14" ht="15.75" customHeight="1" x14ac:dyDescent="0.25">
      <c r="A4" s="46">
        <v>1</v>
      </c>
      <c r="B4" s="12">
        <v>0</v>
      </c>
      <c r="C4" s="14"/>
      <c r="D4" s="6"/>
      <c r="E4" s="6"/>
      <c r="F4" s="17"/>
      <c r="G4" s="19">
        <f>ROUND(AVERAGE($F$5:$F$63),2)</f>
        <v>0.44</v>
      </c>
      <c r="H4" s="7"/>
      <c r="J4" s="78"/>
      <c r="K4" s="79"/>
      <c r="L4" s="79"/>
      <c r="M4" s="79"/>
      <c r="N4" s="80"/>
    </row>
    <row r="5" spans="1:14" ht="15.75" customHeight="1" x14ac:dyDescent="0.25">
      <c r="A5" s="47">
        <f t="shared" ref="A5:A62" si="0">A4+1</f>
        <v>2</v>
      </c>
      <c r="B5" s="13">
        <v>0.82</v>
      </c>
      <c r="C5" s="14"/>
      <c r="D5" s="6"/>
      <c r="E5" s="6"/>
      <c r="F5" s="18">
        <f t="shared" ref="F5:F63" si="1">ABS(B4-B5)</f>
        <v>0.82</v>
      </c>
      <c r="G5" s="18">
        <f t="shared" ref="G5:G63" si="2">G4</f>
        <v>0.44</v>
      </c>
      <c r="H5" s="7"/>
      <c r="J5" s="78"/>
      <c r="K5" s="79"/>
      <c r="L5" s="79"/>
      <c r="M5" s="79"/>
      <c r="N5" s="80"/>
    </row>
    <row r="6" spans="1:14" ht="15.75" customHeight="1" x14ac:dyDescent="0.25">
      <c r="A6" s="46">
        <f t="shared" si="0"/>
        <v>3</v>
      </c>
      <c r="B6" s="12">
        <v>0.98</v>
      </c>
      <c r="C6" s="14"/>
      <c r="D6" s="6"/>
      <c r="E6" s="6"/>
      <c r="F6" s="19">
        <f t="shared" si="1"/>
        <v>0.16000000000000003</v>
      </c>
      <c r="G6" s="18">
        <f t="shared" si="2"/>
        <v>0.44</v>
      </c>
      <c r="H6" s="7"/>
      <c r="J6" s="78"/>
      <c r="K6" s="79"/>
      <c r="L6" s="79"/>
      <c r="M6" s="79"/>
      <c r="N6" s="80"/>
    </row>
    <row r="7" spans="1:14" ht="15.75" customHeight="1" x14ac:dyDescent="0.25">
      <c r="A7" s="47">
        <f t="shared" si="0"/>
        <v>4</v>
      </c>
      <c r="B7" s="13">
        <v>0.89</v>
      </c>
      <c r="C7" s="14"/>
      <c r="D7" s="6"/>
      <c r="E7" s="6"/>
      <c r="F7" s="18">
        <f t="shared" si="1"/>
        <v>8.9999999999999969E-2</v>
      </c>
      <c r="G7" s="18">
        <f t="shared" si="2"/>
        <v>0.44</v>
      </c>
      <c r="H7" s="7"/>
      <c r="J7" s="78"/>
      <c r="K7" s="79"/>
      <c r="L7" s="79"/>
      <c r="M7" s="79"/>
      <c r="N7" s="80"/>
    </row>
    <row r="8" spans="1:14" ht="15.75" customHeight="1" x14ac:dyDescent="0.25">
      <c r="A8" s="46">
        <f t="shared" si="0"/>
        <v>5</v>
      </c>
      <c r="B8" s="12">
        <v>1.76</v>
      </c>
      <c r="C8" s="14"/>
      <c r="D8" s="6"/>
      <c r="E8" s="6"/>
      <c r="F8" s="19">
        <f t="shared" si="1"/>
        <v>0.87</v>
      </c>
      <c r="G8" s="18">
        <f t="shared" si="2"/>
        <v>0.44</v>
      </c>
      <c r="H8" s="7"/>
      <c r="J8" s="78"/>
      <c r="K8" s="79"/>
      <c r="L8" s="79"/>
      <c r="M8" s="79"/>
      <c r="N8" s="80"/>
    </row>
    <row r="9" spans="1:14" ht="15.75" customHeight="1" x14ac:dyDescent="0.25">
      <c r="A9" s="47">
        <f t="shared" si="0"/>
        <v>6</v>
      </c>
      <c r="B9" s="13">
        <v>1.1200000000000001</v>
      </c>
      <c r="C9" s="14"/>
      <c r="D9" s="6"/>
      <c r="E9" s="6"/>
      <c r="F9" s="18">
        <f t="shared" si="1"/>
        <v>0.6399999999999999</v>
      </c>
      <c r="G9" s="18">
        <f t="shared" si="2"/>
        <v>0.44</v>
      </c>
      <c r="H9" s="7"/>
      <c r="J9" s="78"/>
      <c r="K9" s="79"/>
      <c r="L9" s="79"/>
      <c r="M9" s="79"/>
      <c r="N9" s="80"/>
    </row>
    <row r="10" spans="1:14" ht="15.75" customHeight="1" x14ac:dyDescent="0.25">
      <c r="A10" s="46">
        <f t="shared" si="0"/>
        <v>7</v>
      </c>
      <c r="B10" s="12">
        <v>0.98</v>
      </c>
      <c r="C10" s="14"/>
      <c r="D10" s="6"/>
      <c r="E10" s="6"/>
      <c r="F10" s="19">
        <f t="shared" si="1"/>
        <v>0.14000000000000012</v>
      </c>
      <c r="G10" s="18">
        <f t="shared" si="2"/>
        <v>0.44</v>
      </c>
      <c r="H10" s="7"/>
      <c r="J10" s="78"/>
      <c r="K10" s="79"/>
      <c r="L10" s="79"/>
      <c r="M10" s="79"/>
      <c r="N10" s="80"/>
    </row>
    <row r="11" spans="1:14" ht="15.75" customHeight="1" x14ac:dyDescent="0.25">
      <c r="A11" s="47">
        <f t="shared" si="0"/>
        <v>8</v>
      </c>
      <c r="B11" s="13">
        <v>1.72</v>
      </c>
      <c r="C11" s="14"/>
      <c r="D11" s="6"/>
      <c r="E11" s="6"/>
      <c r="F11" s="18">
        <f t="shared" si="1"/>
        <v>0.74</v>
      </c>
      <c r="G11" s="18">
        <f t="shared" si="2"/>
        <v>0.44</v>
      </c>
      <c r="H11" s="7"/>
      <c r="J11" s="78"/>
      <c r="K11" s="79"/>
      <c r="L11" s="79"/>
      <c r="M11" s="79"/>
      <c r="N11" s="80"/>
    </row>
    <row r="12" spans="1:14" ht="15.75" customHeight="1" x14ac:dyDescent="0.25">
      <c r="A12" s="46">
        <f t="shared" si="0"/>
        <v>9</v>
      </c>
      <c r="B12" s="12">
        <v>0.76</v>
      </c>
      <c r="C12" s="14"/>
      <c r="D12" s="6"/>
      <c r="E12" s="6"/>
      <c r="F12" s="19">
        <f t="shared" si="1"/>
        <v>0.96</v>
      </c>
      <c r="G12" s="18">
        <f t="shared" si="2"/>
        <v>0.44</v>
      </c>
      <c r="H12" s="7"/>
      <c r="J12" s="78"/>
      <c r="K12" s="79"/>
      <c r="L12" s="79"/>
      <c r="M12" s="79"/>
      <c r="N12" s="80"/>
    </row>
    <row r="13" spans="1:14" ht="15.75" customHeight="1" x14ac:dyDescent="0.25">
      <c r="A13" s="47">
        <f t="shared" si="0"/>
        <v>10</v>
      </c>
      <c r="B13" s="13">
        <v>0.81</v>
      </c>
      <c r="C13" s="14"/>
      <c r="D13" s="6"/>
      <c r="E13" s="6"/>
      <c r="F13" s="18">
        <f t="shared" si="1"/>
        <v>5.0000000000000044E-2</v>
      </c>
      <c r="G13" s="18">
        <f t="shared" si="2"/>
        <v>0.44</v>
      </c>
      <c r="H13" s="7"/>
      <c r="J13" s="78"/>
      <c r="K13" s="79"/>
      <c r="L13" s="79"/>
      <c r="M13" s="79"/>
      <c r="N13" s="80"/>
    </row>
    <row r="14" spans="1:14" ht="15.75" customHeight="1" x14ac:dyDescent="0.25">
      <c r="A14" s="46">
        <f t="shared" si="0"/>
        <v>11</v>
      </c>
      <c r="B14" s="12">
        <v>1.43</v>
      </c>
      <c r="C14" s="14"/>
      <c r="D14" s="6"/>
      <c r="E14" s="6"/>
      <c r="F14" s="19">
        <f t="shared" si="1"/>
        <v>0.61999999999999988</v>
      </c>
      <c r="G14" s="18">
        <f t="shared" si="2"/>
        <v>0.44</v>
      </c>
      <c r="H14" s="7"/>
      <c r="J14" s="78"/>
      <c r="K14" s="79"/>
      <c r="L14" s="79"/>
      <c r="M14" s="79"/>
      <c r="N14" s="80"/>
    </row>
    <row r="15" spans="1:14" ht="15.75" customHeight="1" x14ac:dyDescent="0.25">
      <c r="A15" s="47">
        <f t="shared" si="0"/>
        <v>12</v>
      </c>
      <c r="B15" s="13">
        <v>0.81</v>
      </c>
      <c r="C15" s="14"/>
      <c r="D15" s="6"/>
      <c r="E15" s="6"/>
      <c r="F15" s="18">
        <f t="shared" si="1"/>
        <v>0.61999999999999988</v>
      </c>
      <c r="G15" s="18">
        <f t="shared" si="2"/>
        <v>0.44</v>
      </c>
      <c r="H15" s="7"/>
      <c r="J15" s="78"/>
      <c r="K15" s="79"/>
      <c r="L15" s="79"/>
      <c r="M15" s="79"/>
      <c r="N15" s="80"/>
    </row>
    <row r="16" spans="1:14" ht="15.75" customHeight="1" x14ac:dyDescent="0.25">
      <c r="A16" s="46">
        <f t="shared" si="0"/>
        <v>13</v>
      </c>
      <c r="B16" s="12">
        <v>0.86</v>
      </c>
      <c r="C16" s="14"/>
      <c r="D16" s="6"/>
      <c r="E16" s="6"/>
      <c r="F16" s="19">
        <f t="shared" si="1"/>
        <v>4.9999999999999933E-2</v>
      </c>
      <c r="G16" s="18">
        <f t="shared" si="2"/>
        <v>0.44</v>
      </c>
      <c r="H16" s="7"/>
      <c r="J16" s="78"/>
      <c r="K16" s="79"/>
      <c r="L16" s="79"/>
      <c r="M16" s="79"/>
      <c r="N16" s="80"/>
    </row>
    <row r="17" spans="1:14" ht="15.75" customHeight="1" x14ac:dyDescent="0.25">
      <c r="A17" s="47">
        <f t="shared" si="0"/>
        <v>14</v>
      </c>
      <c r="B17" s="13">
        <v>0.79</v>
      </c>
      <c r="C17" s="14"/>
      <c r="D17" s="6"/>
      <c r="E17" s="6"/>
      <c r="F17" s="18">
        <f t="shared" si="1"/>
        <v>6.9999999999999951E-2</v>
      </c>
      <c r="G17" s="18">
        <f t="shared" si="2"/>
        <v>0.44</v>
      </c>
      <c r="H17" s="7"/>
      <c r="J17" s="78"/>
      <c r="K17" s="79"/>
      <c r="L17" s="79"/>
      <c r="M17" s="79"/>
      <c r="N17" s="80"/>
    </row>
    <row r="18" spans="1:14" ht="15.75" customHeight="1" x14ac:dyDescent="0.25">
      <c r="A18" s="46">
        <f t="shared" si="0"/>
        <v>15</v>
      </c>
      <c r="B18" s="12">
        <v>1.25</v>
      </c>
      <c r="C18" s="14"/>
      <c r="D18" s="6"/>
      <c r="E18" s="6"/>
      <c r="F18" s="19">
        <f t="shared" si="1"/>
        <v>0.45999999999999996</v>
      </c>
      <c r="G18" s="18">
        <f t="shared" si="2"/>
        <v>0.44</v>
      </c>
      <c r="H18" s="7"/>
      <c r="J18" s="81"/>
      <c r="K18" s="82"/>
      <c r="L18" s="82"/>
      <c r="M18" s="82"/>
      <c r="N18" s="83"/>
    </row>
    <row r="19" spans="1:14" ht="15.75" customHeight="1" x14ac:dyDescent="0.25">
      <c r="A19" s="47">
        <f t="shared" si="0"/>
        <v>16</v>
      </c>
      <c r="B19" s="13">
        <v>0.79</v>
      </c>
      <c r="C19" s="14"/>
      <c r="D19" s="6"/>
      <c r="E19" s="6"/>
      <c r="F19" s="18">
        <f t="shared" si="1"/>
        <v>0.45999999999999996</v>
      </c>
      <c r="G19" s="18">
        <f t="shared" si="2"/>
        <v>0.44</v>
      </c>
      <c r="H19" s="7"/>
      <c r="J19" s="59"/>
      <c r="K19" s="59"/>
      <c r="L19" s="59"/>
      <c r="M19" s="59"/>
      <c r="N19" s="59"/>
    </row>
    <row r="20" spans="1:14" ht="15.75" customHeight="1" x14ac:dyDescent="0.25">
      <c r="A20" s="46">
        <f t="shared" si="0"/>
        <v>17</v>
      </c>
      <c r="B20" s="12">
        <v>0.99</v>
      </c>
      <c r="C20" s="14"/>
      <c r="D20" s="6"/>
      <c r="E20" s="6"/>
      <c r="F20" s="19">
        <f t="shared" si="1"/>
        <v>0.19999999999999996</v>
      </c>
      <c r="G20" s="18">
        <f t="shared" si="2"/>
        <v>0.44</v>
      </c>
      <c r="H20" s="7"/>
      <c r="J20" s="59"/>
      <c r="K20" s="59"/>
      <c r="L20" s="59"/>
      <c r="M20" s="59"/>
      <c r="N20" s="59"/>
    </row>
    <row r="21" spans="1:14" ht="15.75" customHeight="1" x14ac:dyDescent="0.25">
      <c r="A21" s="47">
        <f t="shared" si="0"/>
        <v>18</v>
      </c>
      <c r="B21" s="13">
        <v>0.98</v>
      </c>
      <c r="C21" s="14"/>
      <c r="D21" s="6"/>
      <c r="E21" s="6"/>
      <c r="F21" s="18">
        <f t="shared" si="1"/>
        <v>1.0000000000000009E-2</v>
      </c>
      <c r="G21" s="18">
        <f t="shared" si="2"/>
        <v>0.44</v>
      </c>
      <c r="H21" s="7"/>
      <c r="J21" s="59"/>
      <c r="K21" s="59"/>
      <c r="L21" s="59"/>
      <c r="M21" s="59"/>
      <c r="N21" s="59"/>
    </row>
    <row r="22" spans="1:14" ht="15.75" customHeight="1" x14ac:dyDescent="0.25">
      <c r="A22" s="46">
        <f t="shared" si="0"/>
        <v>19</v>
      </c>
      <c r="B22" s="12">
        <v>1.74</v>
      </c>
      <c r="C22" s="14"/>
      <c r="D22" s="6"/>
      <c r="E22" s="6"/>
      <c r="F22" s="19">
        <f t="shared" si="1"/>
        <v>0.76</v>
      </c>
      <c r="G22" s="18">
        <f t="shared" si="2"/>
        <v>0.44</v>
      </c>
      <c r="H22" s="7"/>
    </row>
    <row r="23" spans="1:14" ht="15.75" customHeight="1" x14ac:dyDescent="0.25">
      <c r="A23" s="47">
        <f t="shared" si="0"/>
        <v>20</v>
      </c>
      <c r="B23" s="13">
        <v>0.87</v>
      </c>
      <c r="C23" s="14"/>
      <c r="D23" s="6"/>
      <c r="E23" s="6"/>
      <c r="F23" s="18">
        <f t="shared" si="1"/>
        <v>0.87</v>
      </c>
      <c r="G23" s="18">
        <f t="shared" si="2"/>
        <v>0.44</v>
      </c>
      <c r="H23" s="7"/>
    </row>
    <row r="24" spans="1:14" ht="15.75" customHeight="1" x14ac:dyDescent="0.25">
      <c r="A24" s="46">
        <f t="shared" si="0"/>
        <v>21</v>
      </c>
      <c r="B24" s="12">
        <v>0.93</v>
      </c>
      <c r="C24" s="14"/>
      <c r="D24" s="6"/>
      <c r="E24" s="6"/>
      <c r="F24" s="19">
        <f t="shared" si="1"/>
        <v>6.0000000000000053E-2</v>
      </c>
      <c r="G24" s="18">
        <f t="shared" si="2"/>
        <v>0.44</v>
      </c>
      <c r="H24" s="7"/>
    </row>
    <row r="25" spans="1:14" ht="15.75" customHeight="1" x14ac:dyDescent="0.25">
      <c r="A25" s="47">
        <f t="shared" si="0"/>
        <v>22</v>
      </c>
      <c r="B25" s="13">
        <v>1.22</v>
      </c>
      <c r="C25" s="14"/>
      <c r="D25" s="6"/>
      <c r="E25" s="6"/>
      <c r="F25" s="18">
        <f t="shared" si="1"/>
        <v>0.28999999999999992</v>
      </c>
      <c r="G25" s="18">
        <f t="shared" si="2"/>
        <v>0.44</v>
      </c>
      <c r="H25" s="7"/>
    </row>
    <row r="26" spans="1:14" ht="15.75" customHeight="1" x14ac:dyDescent="0.25">
      <c r="A26" s="46">
        <f t="shared" si="0"/>
        <v>23</v>
      </c>
      <c r="B26" s="12">
        <v>1.24</v>
      </c>
      <c r="C26" s="14"/>
      <c r="D26" s="6"/>
      <c r="E26" s="6"/>
      <c r="F26" s="19">
        <f t="shared" si="1"/>
        <v>2.0000000000000018E-2</v>
      </c>
      <c r="G26" s="18">
        <f t="shared" si="2"/>
        <v>0.44</v>
      </c>
      <c r="H26" s="7"/>
    </row>
    <row r="27" spans="1:14" ht="15.75" customHeight="1" x14ac:dyDescent="0.25">
      <c r="A27" s="47">
        <f t="shared" si="0"/>
        <v>24</v>
      </c>
      <c r="B27" s="13">
        <v>1.26</v>
      </c>
      <c r="C27" s="14"/>
      <c r="D27" s="6"/>
      <c r="E27" s="6"/>
      <c r="F27" s="18">
        <f t="shared" si="1"/>
        <v>2.0000000000000018E-2</v>
      </c>
      <c r="G27" s="18">
        <f t="shared" si="2"/>
        <v>0.44</v>
      </c>
      <c r="H27" s="7"/>
    </row>
    <row r="28" spans="1:14" ht="15.75" customHeight="1" x14ac:dyDescent="0.25">
      <c r="A28" s="46">
        <f t="shared" si="0"/>
        <v>25</v>
      </c>
      <c r="B28" s="12">
        <v>0</v>
      </c>
      <c r="C28" s="14"/>
      <c r="D28" s="6"/>
      <c r="E28" s="6"/>
      <c r="F28" s="19">
        <f t="shared" si="1"/>
        <v>1.26</v>
      </c>
      <c r="G28" s="18">
        <f t="shared" si="2"/>
        <v>0.44</v>
      </c>
      <c r="H28" s="7"/>
    </row>
    <row r="29" spans="1:14" ht="15.75" customHeight="1" x14ac:dyDescent="0.25">
      <c r="A29" s="47">
        <f t="shared" si="0"/>
        <v>26</v>
      </c>
      <c r="B29" s="13">
        <v>1.0900000000000001</v>
      </c>
      <c r="C29" s="14"/>
      <c r="D29" s="6"/>
      <c r="E29" s="6"/>
      <c r="F29" s="18">
        <f t="shared" si="1"/>
        <v>1.0900000000000001</v>
      </c>
      <c r="G29" s="18">
        <f t="shared" si="2"/>
        <v>0.44</v>
      </c>
      <c r="H29" s="7"/>
    </row>
    <row r="30" spans="1:14" ht="15.75" customHeight="1" x14ac:dyDescent="0.25">
      <c r="A30" s="46">
        <f t="shared" si="0"/>
        <v>27</v>
      </c>
      <c r="B30" s="12">
        <v>1.17</v>
      </c>
      <c r="C30" s="14"/>
      <c r="D30" s="6"/>
      <c r="E30" s="6"/>
      <c r="F30" s="19">
        <f t="shared" si="1"/>
        <v>7.9999999999999849E-2</v>
      </c>
      <c r="G30" s="18">
        <f t="shared" si="2"/>
        <v>0.44</v>
      </c>
      <c r="H30" s="7"/>
    </row>
    <row r="31" spans="1:14" ht="15.75" customHeight="1" x14ac:dyDescent="0.25">
      <c r="A31" s="47">
        <f t="shared" si="0"/>
        <v>28</v>
      </c>
      <c r="B31" s="13">
        <v>0.88</v>
      </c>
      <c r="C31" s="14"/>
      <c r="D31" s="6"/>
      <c r="E31" s="6"/>
      <c r="F31" s="18">
        <f t="shared" si="1"/>
        <v>0.28999999999999992</v>
      </c>
      <c r="G31" s="18">
        <f t="shared" si="2"/>
        <v>0.44</v>
      </c>
      <c r="H31" s="7"/>
    </row>
    <row r="32" spans="1:14" ht="15.75" customHeight="1" x14ac:dyDescent="0.25">
      <c r="A32" s="46">
        <f t="shared" si="0"/>
        <v>29</v>
      </c>
      <c r="B32" s="12">
        <v>1.1299999999999999</v>
      </c>
      <c r="C32" s="14"/>
      <c r="D32" s="6"/>
      <c r="E32" s="6"/>
      <c r="F32" s="19">
        <f t="shared" si="1"/>
        <v>0.24999999999999989</v>
      </c>
      <c r="G32" s="18">
        <f t="shared" si="2"/>
        <v>0.44</v>
      </c>
      <c r="H32" s="7"/>
    </row>
    <row r="33" spans="1:8" ht="15.75" customHeight="1" x14ac:dyDescent="0.25">
      <c r="A33" s="47">
        <f t="shared" si="0"/>
        <v>30</v>
      </c>
      <c r="B33" s="13">
        <v>1.81</v>
      </c>
      <c r="C33" s="14"/>
      <c r="D33" s="6"/>
      <c r="E33" s="6"/>
      <c r="F33" s="18">
        <f t="shared" si="1"/>
        <v>0.68000000000000016</v>
      </c>
      <c r="G33" s="18">
        <f t="shared" si="2"/>
        <v>0.44</v>
      </c>
      <c r="H33" s="7"/>
    </row>
    <row r="34" spans="1:8" ht="15.75" customHeight="1" x14ac:dyDescent="0.25">
      <c r="A34" s="46">
        <f t="shared" si="0"/>
        <v>31</v>
      </c>
      <c r="B34" s="12">
        <v>1.17</v>
      </c>
      <c r="C34" s="14"/>
      <c r="D34" s="6"/>
      <c r="E34" s="6"/>
      <c r="F34" s="19">
        <f t="shared" si="1"/>
        <v>0.64000000000000012</v>
      </c>
      <c r="G34" s="18">
        <f t="shared" si="2"/>
        <v>0.44</v>
      </c>
      <c r="H34" s="7"/>
    </row>
    <row r="35" spans="1:8" ht="15.75" customHeight="1" x14ac:dyDescent="0.25">
      <c r="A35" s="47">
        <f t="shared" si="0"/>
        <v>32</v>
      </c>
      <c r="B35" s="13">
        <v>1.74</v>
      </c>
      <c r="C35" s="14"/>
      <c r="D35" s="6"/>
      <c r="E35" s="6"/>
      <c r="F35" s="18">
        <f t="shared" si="1"/>
        <v>0.57000000000000006</v>
      </c>
      <c r="G35" s="18">
        <f t="shared" si="2"/>
        <v>0.44</v>
      </c>
      <c r="H35" s="7"/>
    </row>
    <row r="36" spans="1:8" ht="15.75" customHeight="1" x14ac:dyDescent="0.25">
      <c r="A36" s="46">
        <f t="shared" si="0"/>
        <v>33</v>
      </c>
      <c r="B36" s="12">
        <v>0.81</v>
      </c>
      <c r="C36" s="14"/>
      <c r="D36" s="6"/>
      <c r="E36" s="6"/>
      <c r="F36" s="19">
        <f t="shared" si="1"/>
        <v>0.92999999999999994</v>
      </c>
      <c r="G36" s="18">
        <f t="shared" si="2"/>
        <v>0.44</v>
      </c>
      <c r="H36" s="7"/>
    </row>
    <row r="37" spans="1:8" ht="15.75" customHeight="1" x14ac:dyDescent="0.25">
      <c r="A37" s="47">
        <f t="shared" si="0"/>
        <v>34</v>
      </c>
      <c r="B37" s="13">
        <v>1.28</v>
      </c>
      <c r="C37" s="14"/>
      <c r="D37" s="6"/>
      <c r="E37" s="6"/>
      <c r="F37" s="18">
        <f t="shared" si="1"/>
        <v>0.47</v>
      </c>
      <c r="G37" s="18">
        <f t="shared" si="2"/>
        <v>0.44</v>
      </c>
      <c r="H37" s="7"/>
    </row>
    <row r="38" spans="1:8" ht="15.75" customHeight="1" x14ac:dyDescent="0.25">
      <c r="A38" s="46">
        <f t="shared" si="0"/>
        <v>35</v>
      </c>
      <c r="B38" s="12">
        <v>0</v>
      </c>
      <c r="C38" s="14"/>
      <c r="D38" s="6"/>
      <c r="E38" s="6"/>
      <c r="F38" s="19">
        <f t="shared" si="1"/>
        <v>1.28</v>
      </c>
      <c r="G38" s="18">
        <f t="shared" si="2"/>
        <v>0.44</v>
      </c>
      <c r="H38" s="7"/>
    </row>
    <row r="39" spans="1:8" ht="15.75" customHeight="1" x14ac:dyDescent="0.25">
      <c r="A39" s="47">
        <f t="shared" si="0"/>
        <v>36</v>
      </c>
      <c r="B39" s="13">
        <v>1.1100000000000001</v>
      </c>
      <c r="C39" s="14"/>
      <c r="D39" s="6"/>
      <c r="E39" s="6"/>
      <c r="F39" s="18">
        <f t="shared" si="1"/>
        <v>1.1100000000000001</v>
      </c>
      <c r="G39" s="18">
        <f t="shared" si="2"/>
        <v>0.44</v>
      </c>
      <c r="H39" s="7"/>
    </row>
    <row r="40" spans="1:8" ht="15.75" customHeight="1" x14ac:dyDescent="0.25">
      <c r="A40" s="46">
        <f t="shared" si="0"/>
        <v>37</v>
      </c>
      <c r="B40" s="12">
        <v>1.17</v>
      </c>
      <c r="C40" s="14"/>
      <c r="D40" s="6"/>
      <c r="E40" s="6"/>
      <c r="F40" s="19">
        <f t="shared" si="1"/>
        <v>5.9999999999999831E-2</v>
      </c>
      <c r="G40" s="18">
        <f t="shared" si="2"/>
        <v>0.44</v>
      </c>
      <c r="H40" s="7"/>
    </row>
    <row r="41" spans="1:8" ht="15.75" customHeight="1" x14ac:dyDescent="0.25">
      <c r="A41" s="47">
        <f t="shared" si="0"/>
        <v>38</v>
      </c>
      <c r="B41" s="13">
        <v>1.22</v>
      </c>
      <c r="C41" s="14"/>
      <c r="D41" s="6"/>
      <c r="E41" s="6"/>
      <c r="F41" s="18">
        <f t="shared" si="1"/>
        <v>5.0000000000000044E-2</v>
      </c>
      <c r="G41" s="18">
        <f t="shared" si="2"/>
        <v>0.44</v>
      </c>
      <c r="H41" s="7"/>
    </row>
    <row r="42" spans="1:8" ht="15.75" customHeight="1" x14ac:dyDescent="0.25">
      <c r="A42" s="46">
        <f t="shared" si="0"/>
        <v>39</v>
      </c>
      <c r="B42" s="12">
        <v>1.26</v>
      </c>
      <c r="C42" s="14"/>
      <c r="D42" s="6"/>
      <c r="E42" s="6"/>
      <c r="F42" s="19">
        <f t="shared" si="1"/>
        <v>4.0000000000000036E-2</v>
      </c>
      <c r="G42" s="18">
        <f t="shared" si="2"/>
        <v>0.44</v>
      </c>
      <c r="H42" s="7"/>
    </row>
    <row r="43" spans="1:8" ht="15.75" customHeight="1" x14ac:dyDescent="0.25">
      <c r="A43" s="47">
        <f t="shared" si="0"/>
        <v>40</v>
      </c>
      <c r="B43" s="13">
        <v>1.01</v>
      </c>
      <c r="C43" s="14"/>
      <c r="D43" s="6"/>
      <c r="E43" s="6"/>
      <c r="F43" s="18">
        <f t="shared" si="1"/>
        <v>0.25</v>
      </c>
      <c r="G43" s="18">
        <f t="shared" si="2"/>
        <v>0.44</v>
      </c>
      <c r="H43" s="7"/>
    </row>
    <row r="44" spans="1:8" ht="15.75" customHeight="1" x14ac:dyDescent="0.25">
      <c r="A44" s="46">
        <f t="shared" si="0"/>
        <v>41</v>
      </c>
      <c r="B44" s="12">
        <v>2.62</v>
      </c>
      <c r="C44" s="14"/>
      <c r="D44" s="6"/>
      <c r="E44" s="6"/>
      <c r="F44" s="19">
        <f t="shared" si="1"/>
        <v>1.61</v>
      </c>
      <c r="G44" s="18">
        <f t="shared" si="2"/>
        <v>0.44</v>
      </c>
      <c r="H44" s="7"/>
    </row>
    <row r="45" spans="1:8" ht="15.75" customHeight="1" x14ac:dyDescent="0.25">
      <c r="A45" s="47">
        <f t="shared" si="0"/>
        <v>42</v>
      </c>
      <c r="B45" s="13">
        <v>1.44</v>
      </c>
      <c r="C45" s="14"/>
      <c r="D45" s="6"/>
      <c r="E45" s="6"/>
      <c r="F45" s="18">
        <f t="shared" si="1"/>
        <v>1.1800000000000002</v>
      </c>
      <c r="G45" s="18">
        <f t="shared" si="2"/>
        <v>0.44</v>
      </c>
      <c r="H45" s="7"/>
    </row>
    <row r="46" spans="1:8" ht="15.75" customHeight="1" x14ac:dyDescent="0.25">
      <c r="A46" s="46">
        <f t="shared" si="0"/>
        <v>43</v>
      </c>
      <c r="B46" s="12">
        <v>1.24</v>
      </c>
      <c r="C46" s="14"/>
      <c r="D46" s="6"/>
      <c r="E46" s="6"/>
      <c r="F46" s="19">
        <f t="shared" si="1"/>
        <v>0.19999999999999996</v>
      </c>
      <c r="G46" s="18">
        <f t="shared" si="2"/>
        <v>0.44</v>
      </c>
      <c r="H46" s="7"/>
    </row>
    <row r="47" spans="1:8" ht="15.75" customHeight="1" x14ac:dyDescent="0.25">
      <c r="A47" s="47">
        <f t="shared" si="0"/>
        <v>44</v>
      </c>
      <c r="B47" s="13">
        <v>1.05</v>
      </c>
      <c r="C47" s="14"/>
      <c r="D47" s="6"/>
      <c r="E47" s="6"/>
      <c r="F47" s="18">
        <f t="shared" si="1"/>
        <v>0.18999999999999995</v>
      </c>
      <c r="G47" s="18">
        <f t="shared" si="2"/>
        <v>0.44</v>
      </c>
      <c r="H47" s="7"/>
    </row>
    <row r="48" spans="1:8" ht="15.75" customHeight="1" x14ac:dyDescent="0.25">
      <c r="A48" s="46">
        <f t="shared" si="0"/>
        <v>45</v>
      </c>
      <c r="B48" s="12">
        <v>1.02</v>
      </c>
      <c r="C48" s="14"/>
      <c r="D48" s="6"/>
      <c r="E48" s="6"/>
      <c r="F48" s="19">
        <f t="shared" si="1"/>
        <v>3.0000000000000027E-2</v>
      </c>
      <c r="G48" s="18">
        <f t="shared" si="2"/>
        <v>0.44</v>
      </c>
      <c r="H48" s="7"/>
    </row>
    <row r="49" spans="1:8" ht="15.75" customHeight="1" x14ac:dyDescent="0.25">
      <c r="A49" s="47">
        <f t="shared" si="0"/>
        <v>46</v>
      </c>
      <c r="B49" s="13">
        <v>0.99</v>
      </c>
      <c r="C49" s="14"/>
      <c r="D49" s="6"/>
      <c r="E49" s="6"/>
      <c r="F49" s="18">
        <f t="shared" si="1"/>
        <v>3.0000000000000027E-2</v>
      </c>
      <c r="G49" s="18">
        <f t="shared" si="2"/>
        <v>0.44</v>
      </c>
      <c r="H49" s="7"/>
    </row>
    <row r="50" spans="1:8" ht="15.75" customHeight="1" x14ac:dyDescent="0.25">
      <c r="A50" s="46">
        <f t="shared" si="0"/>
        <v>47</v>
      </c>
      <c r="B50" s="12">
        <v>0.9</v>
      </c>
      <c r="C50" s="14"/>
      <c r="D50" s="6"/>
      <c r="E50" s="6"/>
      <c r="F50" s="19">
        <f t="shared" si="1"/>
        <v>8.9999999999999969E-2</v>
      </c>
      <c r="G50" s="18">
        <f t="shared" si="2"/>
        <v>0.44</v>
      </c>
      <c r="H50" s="7"/>
    </row>
    <row r="51" spans="1:8" ht="15.75" customHeight="1" x14ac:dyDescent="0.25">
      <c r="A51" s="47">
        <f t="shared" si="0"/>
        <v>48</v>
      </c>
      <c r="B51" s="13">
        <v>0</v>
      </c>
      <c r="C51" s="14"/>
      <c r="D51" s="6"/>
      <c r="E51" s="6"/>
      <c r="F51" s="18">
        <f t="shared" si="1"/>
        <v>0.9</v>
      </c>
      <c r="G51" s="18">
        <f t="shared" si="2"/>
        <v>0.44</v>
      </c>
      <c r="H51" s="7"/>
    </row>
    <row r="52" spans="1:8" ht="15.75" customHeight="1" x14ac:dyDescent="0.25">
      <c r="A52" s="46">
        <f t="shared" si="0"/>
        <v>49</v>
      </c>
      <c r="B52" s="12">
        <v>1.1200000000000001</v>
      </c>
      <c r="C52" s="14"/>
      <c r="D52" s="6"/>
      <c r="E52" s="6"/>
      <c r="F52" s="19">
        <f t="shared" si="1"/>
        <v>1.1200000000000001</v>
      </c>
      <c r="G52" s="18">
        <f t="shared" si="2"/>
        <v>0.44</v>
      </c>
      <c r="H52" s="7"/>
    </row>
    <row r="53" spans="1:8" ht="15.75" customHeight="1" x14ac:dyDescent="0.25">
      <c r="A53" s="47">
        <f t="shared" si="0"/>
        <v>50</v>
      </c>
      <c r="B53" s="13">
        <v>1.23</v>
      </c>
      <c r="C53" s="14"/>
      <c r="D53" s="6"/>
      <c r="E53" s="6"/>
      <c r="F53" s="18">
        <f t="shared" si="1"/>
        <v>0.10999999999999988</v>
      </c>
      <c r="G53" s="18">
        <f t="shared" si="2"/>
        <v>0.44</v>
      </c>
      <c r="H53" s="7"/>
    </row>
    <row r="54" spans="1:8" ht="15.75" customHeight="1" x14ac:dyDescent="0.25">
      <c r="A54" s="46">
        <f t="shared" si="0"/>
        <v>51</v>
      </c>
      <c r="B54" s="12">
        <v>1.18</v>
      </c>
      <c r="C54" s="14"/>
      <c r="D54" s="6"/>
      <c r="E54" s="6"/>
      <c r="F54" s="19">
        <f t="shared" si="1"/>
        <v>5.0000000000000044E-2</v>
      </c>
      <c r="G54" s="18">
        <f t="shared" si="2"/>
        <v>0.44</v>
      </c>
      <c r="H54" s="7"/>
    </row>
    <row r="55" spans="1:8" ht="15.75" customHeight="1" x14ac:dyDescent="0.25">
      <c r="A55" s="47">
        <f t="shared" si="0"/>
        <v>52</v>
      </c>
      <c r="B55" s="13">
        <v>1.42</v>
      </c>
      <c r="C55" s="14"/>
      <c r="D55" s="6"/>
      <c r="E55" s="6"/>
      <c r="F55" s="18">
        <f t="shared" si="1"/>
        <v>0.24</v>
      </c>
      <c r="G55" s="18">
        <f t="shared" si="2"/>
        <v>0.44</v>
      </c>
      <c r="H55" s="7"/>
    </row>
    <row r="56" spans="1:8" ht="15.75" customHeight="1" x14ac:dyDescent="0.25">
      <c r="A56" s="46">
        <f t="shared" si="0"/>
        <v>53</v>
      </c>
      <c r="B56" s="12">
        <v>1.38</v>
      </c>
      <c r="C56" s="14"/>
      <c r="D56" s="6"/>
      <c r="E56" s="6"/>
      <c r="F56" s="19">
        <f t="shared" si="1"/>
        <v>4.0000000000000036E-2</v>
      </c>
      <c r="G56" s="18">
        <f t="shared" si="2"/>
        <v>0.44</v>
      </c>
      <c r="H56" s="7"/>
    </row>
    <row r="57" spans="1:8" ht="15.75" customHeight="1" x14ac:dyDescent="0.25">
      <c r="A57" s="47">
        <f t="shared" si="0"/>
        <v>54</v>
      </c>
      <c r="B57" s="13">
        <v>0.77</v>
      </c>
      <c r="C57" s="14"/>
      <c r="D57" s="6"/>
      <c r="E57" s="6"/>
      <c r="F57" s="18">
        <f t="shared" si="1"/>
        <v>0.60999999999999988</v>
      </c>
      <c r="G57" s="18">
        <f t="shared" si="2"/>
        <v>0.44</v>
      </c>
      <c r="H57" s="7"/>
    </row>
    <row r="58" spans="1:8" ht="15.75" customHeight="1" x14ac:dyDescent="0.25">
      <c r="A58" s="46">
        <f t="shared" si="0"/>
        <v>55</v>
      </c>
      <c r="B58" s="12">
        <v>0.97</v>
      </c>
      <c r="C58" s="14"/>
      <c r="D58" s="6"/>
      <c r="E58" s="6"/>
      <c r="F58" s="19">
        <f t="shared" si="1"/>
        <v>0.19999999999999996</v>
      </c>
      <c r="G58" s="18">
        <f t="shared" si="2"/>
        <v>0.44</v>
      </c>
      <c r="H58" s="7"/>
    </row>
    <row r="59" spans="1:8" ht="15.75" customHeight="1" x14ac:dyDescent="0.25">
      <c r="A59" s="47">
        <f t="shared" si="0"/>
        <v>56</v>
      </c>
      <c r="B59" s="13">
        <v>0.86</v>
      </c>
      <c r="C59" s="14"/>
      <c r="D59" s="6"/>
      <c r="E59" s="6"/>
      <c r="F59" s="18">
        <f t="shared" si="1"/>
        <v>0.10999999999999999</v>
      </c>
      <c r="G59" s="18">
        <f t="shared" si="2"/>
        <v>0.44</v>
      </c>
      <c r="H59" s="7"/>
    </row>
    <row r="60" spans="1:8" ht="15.75" customHeight="1" x14ac:dyDescent="0.25">
      <c r="A60" s="46">
        <f t="shared" si="0"/>
        <v>57</v>
      </c>
      <c r="B60" s="12">
        <v>1.56</v>
      </c>
      <c r="C60" s="14"/>
      <c r="D60" s="6"/>
      <c r="E60" s="6"/>
      <c r="F60" s="19">
        <f t="shared" si="1"/>
        <v>0.70000000000000007</v>
      </c>
      <c r="G60" s="18">
        <f t="shared" si="2"/>
        <v>0.44</v>
      </c>
      <c r="H60" s="7"/>
    </row>
    <row r="61" spans="1:8" ht="15.75" customHeight="1" x14ac:dyDescent="0.25">
      <c r="A61" s="47">
        <f t="shared" si="0"/>
        <v>58</v>
      </c>
      <c r="B61" s="13">
        <v>1.73</v>
      </c>
      <c r="C61" s="14"/>
      <c r="D61" s="6"/>
      <c r="E61" s="6"/>
      <c r="F61" s="18">
        <f t="shared" si="1"/>
        <v>0.16999999999999993</v>
      </c>
      <c r="G61" s="18">
        <f t="shared" si="2"/>
        <v>0.44</v>
      </c>
      <c r="H61" s="7"/>
    </row>
    <row r="62" spans="1:8" ht="15.75" customHeight="1" x14ac:dyDescent="0.25">
      <c r="A62" s="46">
        <f t="shared" si="0"/>
        <v>59</v>
      </c>
      <c r="B62" s="12">
        <v>1.64</v>
      </c>
      <c r="C62" s="14"/>
      <c r="D62" s="6"/>
      <c r="E62" s="6"/>
      <c r="F62" s="19">
        <f t="shared" si="1"/>
        <v>9.000000000000008E-2</v>
      </c>
      <c r="G62" s="18">
        <f t="shared" si="2"/>
        <v>0.44</v>
      </c>
      <c r="H62" s="7"/>
    </row>
    <row r="63" spans="1:8" ht="15.75" customHeight="1" x14ac:dyDescent="0.25">
      <c r="A63" s="48">
        <v>60</v>
      </c>
      <c r="B63" s="15">
        <v>1.49</v>
      </c>
      <c r="C63" s="16"/>
      <c r="D63" s="10"/>
      <c r="E63" s="10"/>
      <c r="F63" s="20">
        <f t="shared" si="1"/>
        <v>0.14999999999999991</v>
      </c>
      <c r="G63" s="20">
        <f t="shared" si="2"/>
        <v>0.44</v>
      </c>
      <c r="H63" s="11"/>
    </row>
    <row r="64" spans="1:8" ht="15.75" customHeight="1" x14ac:dyDescent="0.25"/>
  </sheetData>
  <mergeCells count="4">
    <mergeCell ref="A1:D1"/>
    <mergeCell ref="G1:H1"/>
    <mergeCell ref="J1:N1"/>
    <mergeCell ref="J2:N18"/>
  </mergeCells>
  <conditionalFormatting sqref="C4:C63">
    <cfRule type="containsBlanks" dxfId="6" priority="1">
      <formula>LEN(TRIM(C4))=0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64"/>
  <sheetViews>
    <sheetView showGridLines="0" workbookViewId="0">
      <selection sqref="A1:D1"/>
    </sheetView>
  </sheetViews>
  <sheetFormatPr defaultColWidth="12.6640625" defaultRowHeight="15" customHeight="1" x14ac:dyDescent="0.25"/>
  <cols>
    <col min="1" max="1" width="18.88671875" customWidth="1"/>
    <col min="2" max="6" width="12.6640625" customWidth="1"/>
    <col min="7" max="7" width="14.44140625" customWidth="1"/>
    <col min="9" max="9" width="3.21875" customWidth="1"/>
    <col min="15" max="15" width="3.21875" customWidth="1"/>
  </cols>
  <sheetData>
    <row r="1" spans="1:14" ht="24.6" x14ac:dyDescent="0.55000000000000004">
      <c r="A1" s="69" t="s">
        <v>15</v>
      </c>
      <c r="B1" s="70"/>
      <c r="C1" s="70"/>
      <c r="D1" s="70"/>
      <c r="E1" s="2"/>
      <c r="F1" s="1"/>
      <c r="G1" s="71" t="s">
        <v>2</v>
      </c>
      <c r="H1" s="72"/>
      <c r="J1" s="73" t="s">
        <v>3</v>
      </c>
      <c r="K1" s="74"/>
      <c r="L1" s="74"/>
      <c r="M1" s="74"/>
      <c r="N1" s="74"/>
    </row>
    <row r="2" spans="1:14" ht="15.75" customHeight="1" x14ac:dyDescent="0.4">
      <c r="A2" s="3"/>
      <c r="B2" s="3"/>
      <c r="C2" s="3"/>
      <c r="D2" s="3"/>
      <c r="E2" s="3"/>
      <c r="F2" s="3"/>
      <c r="G2" s="3"/>
      <c r="H2" s="3"/>
      <c r="J2" s="76" t="s">
        <v>29</v>
      </c>
      <c r="K2" s="76"/>
      <c r="L2" s="76"/>
      <c r="M2" s="76"/>
      <c r="N2" s="76"/>
    </row>
    <row r="3" spans="1:14" ht="15.75" customHeight="1" x14ac:dyDescent="0.25">
      <c r="A3" s="38" t="s">
        <v>4</v>
      </c>
      <c r="B3" s="39" t="s">
        <v>5</v>
      </c>
      <c r="C3" s="39" t="s">
        <v>6</v>
      </c>
      <c r="D3" s="39" t="s">
        <v>7</v>
      </c>
      <c r="E3" s="39" t="s">
        <v>8</v>
      </c>
      <c r="F3" s="39" t="s">
        <v>9</v>
      </c>
      <c r="G3" s="39" t="s">
        <v>10</v>
      </c>
      <c r="H3" s="40" t="s">
        <v>11</v>
      </c>
      <c r="J3" s="79"/>
      <c r="K3" s="79"/>
      <c r="L3" s="79"/>
      <c r="M3" s="79"/>
      <c r="N3" s="79"/>
    </row>
    <row r="4" spans="1:14" ht="15.75" customHeight="1" x14ac:dyDescent="0.25">
      <c r="A4" s="46">
        <v>1</v>
      </c>
      <c r="B4" s="12">
        <v>0</v>
      </c>
      <c r="C4" s="19">
        <f t="shared" ref="C4:C63" si="0">AVERAGE($B$4:$B$63)</f>
        <v>1.1076666666666664</v>
      </c>
      <c r="D4" s="14"/>
      <c r="E4" s="14"/>
      <c r="F4" s="17"/>
      <c r="G4" s="19">
        <f>ROUND(AVERAGE($F$5:$F$63),2)</f>
        <v>0.44</v>
      </c>
      <c r="H4" s="21"/>
      <c r="J4" s="79"/>
      <c r="K4" s="79"/>
      <c r="L4" s="79"/>
      <c r="M4" s="79"/>
      <c r="N4" s="79"/>
    </row>
    <row r="5" spans="1:14" ht="15.75" customHeight="1" x14ac:dyDescent="0.25">
      <c r="A5" s="47">
        <f t="shared" ref="A5:A62" si="1">A4+1</f>
        <v>2</v>
      </c>
      <c r="B5" s="13">
        <v>0.82</v>
      </c>
      <c r="C5" s="18">
        <f t="shared" si="0"/>
        <v>1.1076666666666664</v>
      </c>
      <c r="D5" s="14"/>
      <c r="E5" s="14"/>
      <c r="F5" s="18">
        <f t="shared" ref="F5:F63" si="2">ABS(B4-B5)</f>
        <v>0.82</v>
      </c>
      <c r="G5" s="18">
        <f t="shared" ref="G5:G63" si="3">G4</f>
        <v>0.44</v>
      </c>
      <c r="H5" s="21"/>
      <c r="J5" s="79"/>
      <c r="K5" s="79"/>
      <c r="L5" s="79"/>
      <c r="M5" s="79"/>
      <c r="N5" s="79"/>
    </row>
    <row r="6" spans="1:14" ht="15.75" customHeight="1" x14ac:dyDescent="0.25">
      <c r="A6" s="46">
        <f t="shared" si="1"/>
        <v>3</v>
      </c>
      <c r="B6" s="12">
        <v>0.98</v>
      </c>
      <c r="C6" s="19">
        <f t="shared" si="0"/>
        <v>1.1076666666666664</v>
      </c>
      <c r="D6" s="14"/>
      <c r="E6" s="14"/>
      <c r="F6" s="19">
        <f t="shared" si="2"/>
        <v>0.16000000000000003</v>
      </c>
      <c r="G6" s="18">
        <f t="shared" si="3"/>
        <v>0.44</v>
      </c>
      <c r="H6" s="21"/>
      <c r="J6" s="79"/>
      <c r="K6" s="79"/>
      <c r="L6" s="79"/>
      <c r="M6" s="79"/>
      <c r="N6" s="79"/>
    </row>
    <row r="7" spans="1:14" ht="15.75" customHeight="1" x14ac:dyDescent="0.25">
      <c r="A7" s="47">
        <f t="shared" si="1"/>
        <v>4</v>
      </c>
      <c r="B7" s="13">
        <v>0.89</v>
      </c>
      <c r="C7" s="18">
        <f t="shared" si="0"/>
        <v>1.1076666666666664</v>
      </c>
      <c r="D7" s="14"/>
      <c r="E7" s="14"/>
      <c r="F7" s="18">
        <f t="shared" si="2"/>
        <v>8.9999999999999969E-2</v>
      </c>
      <c r="G7" s="18">
        <f t="shared" si="3"/>
        <v>0.44</v>
      </c>
      <c r="H7" s="21"/>
      <c r="J7" s="79"/>
      <c r="K7" s="79"/>
      <c r="L7" s="79"/>
      <c r="M7" s="79"/>
      <c r="N7" s="79"/>
    </row>
    <row r="8" spans="1:14" ht="15.75" customHeight="1" x14ac:dyDescent="0.25">
      <c r="A8" s="46">
        <f t="shared" si="1"/>
        <v>5</v>
      </c>
      <c r="B8" s="12">
        <v>1.76</v>
      </c>
      <c r="C8" s="19">
        <f t="shared" si="0"/>
        <v>1.1076666666666664</v>
      </c>
      <c r="D8" s="14"/>
      <c r="E8" s="14"/>
      <c r="F8" s="19">
        <f t="shared" si="2"/>
        <v>0.87</v>
      </c>
      <c r="G8" s="18">
        <f t="shared" si="3"/>
        <v>0.44</v>
      </c>
      <c r="H8" s="21"/>
      <c r="J8" s="79"/>
      <c r="K8" s="79"/>
      <c r="L8" s="79"/>
      <c r="M8" s="79"/>
      <c r="N8" s="79"/>
    </row>
    <row r="9" spans="1:14" ht="15.75" customHeight="1" x14ac:dyDescent="0.25">
      <c r="A9" s="47">
        <f t="shared" si="1"/>
        <v>6</v>
      </c>
      <c r="B9" s="13">
        <v>1.1200000000000001</v>
      </c>
      <c r="C9" s="18">
        <f t="shared" si="0"/>
        <v>1.1076666666666664</v>
      </c>
      <c r="D9" s="14"/>
      <c r="E9" s="14"/>
      <c r="F9" s="18">
        <f t="shared" si="2"/>
        <v>0.6399999999999999</v>
      </c>
      <c r="G9" s="18">
        <f t="shared" si="3"/>
        <v>0.44</v>
      </c>
      <c r="H9" s="21"/>
      <c r="J9" s="79"/>
      <c r="K9" s="79"/>
      <c r="L9" s="79"/>
      <c r="M9" s="79"/>
      <c r="N9" s="79"/>
    </row>
    <row r="10" spans="1:14" ht="15.75" customHeight="1" x14ac:dyDescent="0.25">
      <c r="A10" s="46">
        <f t="shared" si="1"/>
        <v>7</v>
      </c>
      <c r="B10" s="12">
        <v>0.98</v>
      </c>
      <c r="C10" s="19">
        <f t="shared" si="0"/>
        <v>1.1076666666666664</v>
      </c>
      <c r="D10" s="14"/>
      <c r="E10" s="14"/>
      <c r="F10" s="19">
        <f t="shared" si="2"/>
        <v>0.14000000000000012</v>
      </c>
      <c r="G10" s="18">
        <f t="shared" si="3"/>
        <v>0.44</v>
      </c>
      <c r="H10" s="21"/>
      <c r="J10" s="79"/>
      <c r="K10" s="79"/>
      <c r="L10" s="79"/>
      <c r="M10" s="79"/>
      <c r="N10" s="79"/>
    </row>
    <row r="11" spans="1:14" ht="15.75" customHeight="1" x14ac:dyDescent="0.25">
      <c r="A11" s="47">
        <f t="shared" si="1"/>
        <v>8</v>
      </c>
      <c r="B11" s="13">
        <v>1.72</v>
      </c>
      <c r="C11" s="18">
        <f t="shared" si="0"/>
        <v>1.1076666666666664</v>
      </c>
      <c r="D11" s="14"/>
      <c r="E11" s="14"/>
      <c r="F11" s="18">
        <f t="shared" si="2"/>
        <v>0.74</v>
      </c>
      <c r="G11" s="18">
        <f t="shared" si="3"/>
        <v>0.44</v>
      </c>
      <c r="H11" s="21"/>
      <c r="J11" s="79"/>
      <c r="K11" s="79"/>
      <c r="L11" s="79"/>
      <c r="M11" s="79"/>
      <c r="N11" s="79"/>
    </row>
    <row r="12" spans="1:14" ht="15.75" customHeight="1" x14ac:dyDescent="0.25">
      <c r="A12" s="46">
        <f t="shared" si="1"/>
        <v>9</v>
      </c>
      <c r="B12" s="12">
        <v>0.76</v>
      </c>
      <c r="C12" s="19">
        <f t="shared" si="0"/>
        <v>1.1076666666666664</v>
      </c>
      <c r="D12" s="14"/>
      <c r="E12" s="14"/>
      <c r="F12" s="19">
        <f t="shared" si="2"/>
        <v>0.96</v>
      </c>
      <c r="G12" s="18">
        <f t="shared" si="3"/>
        <v>0.44</v>
      </c>
      <c r="H12" s="21"/>
      <c r="J12" s="79"/>
      <c r="K12" s="79"/>
      <c r="L12" s="79"/>
      <c r="M12" s="79"/>
      <c r="N12" s="79"/>
    </row>
    <row r="13" spans="1:14" ht="15.75" customHeight="1" x14ac:dyDescent="0.25">
      <c r="A13" s="47">
        <f t="shared" si="1"/>
        <v>10</v>
      </c>
      <c r="B13" s="13">
        <v>0.81</v>
      </c>
      <c r="C13" s="18">
        <f t="shared" si="0"/>
        <v>1.1076666666666664</v>
      </c>
      <c r="D13" s="14"/>
      <c r="E13" s="14"/>
      <c r="F13" s="18">
        <f t="shared" si="2"/>
        <v>5.0000000000000044E-2</v>
      </c>
      <c r="G13" s="18">
        <f t="shared" si="3"/>
        <v>0.44</v>
      </c>
      <c r="H13" s="21"/>
      <c r="J13" s="79"/>
      <c r="K13" s="79"/>
      <c r="L13" s="79"/>
      <c r="M13" s="79"/>
      <c r="N13" s="79"/>
    </row>
    <row r="14" spans="1:14" ht="15.75" customHeight="1" x14ac:dyDescent="0.25">
      <c r="A14" s="46">
        <f t="shared" si="1"/>
        <v>11</v>
      </c>
      <c r="B14" s="12">
        <v>1.43</v>
      </c>
      <c r="C14" s="19">
        <f t="shared" si="0"/>
        <v>1.1076666666666664</v>
      </c>
      <c r="D14" s="14"/>
      <c r="E14" s="14"/>
      <c r="F14" s="19">
        <f t="shared" si="2"/>
        <v>0.61999999999999988</v>
      </c>
      <c r="G14" s="18">
        <f t="shared" si="3"/>
        <v>0.44</v>
      </c>
      <c r="H14" s="21"/>
      <c r="J14" s="79"/>
      <c r="K14" s="79"/>
      <c r="L14" s="79"/>
      <c r="M14" s="79"/>
      <c r="N14" s="79"/>
    </row>
    <row r="15" spans="1:14" ht="15.75" customHeight="1" x14ac:dyDescent="0.25">
      <c r="A15" s="47">
        <f t="shared" si="1"/>
        <v>12</v>
      </c>
      <c r="B15" s="13">
        <v>0.81</v>
      </c>
      <c r="C15" s="18">
        <f t="shared" si="0"/>
        <v>1.1076666666666664</v>
      </c>
      <c r="D15" s="14"/>
      <c r="E15" s="14"/>
      <c r="F15" s="18">
        <f t="shared" si="2"/>
        <v>0.61999999999999988</v>
      </c>
      <c r="G15" s="18">
        <f t="shared" si="3"/>
        <v>0.44</v>
      </c>
      <c r="H15" s="21"/>
      <c r="J15" s="79"/>
      <c r="K15" s="79"/>
      <c r="L15" s="79"/>
      <c r="M15" s="79"/>
      <c r="N15" s="79"/>
    </row>
    <row r="16" spans="1:14" ht="15.75" customHeight="1" x14ac:dyDescent="0.25">
      <c r="A16" s="46">
        <f t="shared" si="1"/>
        <v>13</v>
      </c>
      <c r="B16" s="12">
        <v>0.86</v>
      </c>
      <c r="C16" s="19">
        <f t="shared" si="0"/>
        <v>1.1076666666666664</v>
      </c>
      <c r="D16" s="14"/>
      <c r="E16" s="14"/>
      <c r="F16" s="19">
        <f t="shared" si="2"/>
        <v>4.9999999999999933E-2</v>
      </c>
      <c r="G16" s="18">
        <f t="shared" si="3"/>
        <v>0.44</v>
      </c>
      <c r="H16" s="21"/>
      <c r="J16" s="79"/>
      <c r="K16" s="79"/>
      <c r="L16" s="79"/>
      <c r="M16" s="79"/>
      <c r="N16" s="79"/>
    </row>
    <row r="17" spans="1:14" ht="15.75" customHeight="1" x14ac:dyDescent="0.25">
      <c r="A17" s="47">
        <f t="shared" si="1"/>
        <v>14</v>
      </c>
      <c r="B17" s="13">
        <v>0.79</v>
      </c>
      <c r="C17" s="18">
        <f t="shared" si="0"/>
        <v>1.1076666666666664</v>
      </c>
      <c r="D17" s="14"/>
      <c r="E17" s="14"/>
      <c r="F17" s="18">
        <f t="shared" si="2"/>
        <v>6.9999999999999951E-2</v>
      </c>
      <c r="G17" s="18">
        <f t="shared" si="3"/>
        <v>0.44</v>
      </c>
      <c r="H17" s="21"/>
      <c r="J17" s="79"/>
      <c r="K17" s="79"/>
      <c r="L17" s="79"/>
      <c r="M17" s="79"/>
      <c r="N17" s="79"/>
    </row>
    <row r="18" spans="1:14" ht="15.75" customHeight="1" x14ac:dyDescent="0.25">
      <c r="A18" s="46">
        <f t="shared" si="1"/>
        <v>15</v>
      </c>
      <c r="B18" s="12">
        <v>1.25</v>
      </c>
      <c r="C18" s="19">
        <f t="shared" si="0"/>
        <v>1.1076666666666664</v>
      </c>
      <c r="D18" s="14"/>
      <c r="E18" s="14"/>
      <c r="F18" s="19">
        <f t="shared" si="2"/>
        <v>0.45999999999999996</v>
      </c>
      <c r="G18" s="18">
        <f t="shared" si="3"/>
        <v>0.44</v>
      </c>
      <c r="H18" s="21"/>
      <c r="J18" s="79"/>
      <c r="K18" s="79"/>
      <c r="L18" s="79"/>
      <c r="M18" s="79"/>
      <c r="N18" s="79"/>
    </row>
    <row r="19" spans="1:14" ht="15.75" customHeight="1" x14ac:dyDescent="0.25">
      <c r="A19" s="47">
        <f t="shared" si="1"/>
        <v>16</v>
      </c>
      <c r="B19" s="13">
        <v>0.79</v>
      </c>
      <c r="C19" s="18">
        <f t="shared" si="0"/>
        <v>1.1076666666666664</v>
      </c>
      <c r="D19" s="14"/>
      <c r="E19" s="14"/>
      <c r="F19" s="18">
        <f t="shared" si="2"/>
        <v>0.45999999999999996</v>
      </c>
      <c r="G19" s="18">
        <f t="shared" si="3"/>
        <v>0.44</v>
      </c>
      <c r="H19" s="21"/>
      <c r="J19" s="79"/>
      <c r="K19" s="79"/>
      <c r="L19" s="79"/>
      <c r="M19" s="79"/>
      <c r="N19" s="79"/>
    </row>
    <row r="20" spans="1:14" ht="15.75" customHeight="1" x14ac:dyDescent="0.25">
      <c r="A20" s="46">
        <f t="shared" si="1"/>
        <v>17</v>
      </c>
      <c r="B20" s="12">
        <v>0.99</v>
      </c>
      <c r="C20" s="19">
        <f t="shared" si="0"/>
        <v>1.1076666666666664</v>
      </c>
      <c r="D20" s="14"/>
      <c r="E20" s="14"/>
      <c r="F20" s="19">
        <f t="shared" si="2"/>
        <v>0.19999999999999996</v>
      </c>
      <c r="G20" s="18">
        <f t="shared" si="3"/>
        <v>0.44</v>
      </c>
      <c r="H20" s="21"/>
      <c r="J20" s="79"/>
      <c r="K20" s="79"/>
      <c r="L20" s="79"/>
      <c r="M20" s="79"/>
      <c r="N20" s="79"/>
    </row>
    <row r="21" spans="1:14" ht="15.75" customHeight="1" x14ac:dyDescent="0.25">
      <c r="A21" s="47">
        <f t="shared" si="1"/>
        <v>18</v>
      </c>
      <c r="B21" s="13">
        <v>0.98</v>
      </c>
      <c r="C21" s="18">
        <f t="shared" si="0"/>
        <v>1.1076666666666664</v>
      </c>
      <c r="D21" s="14"/>
      <c r="E21" s="14"/>
      <c r="F21" s="18">
        <f t="shared" si="2"/>
        <v>1.0000000000000009E-2</v>
      </c>
      <c r="G21" s="18">
        <f t="shared" si="3"/>
        <v>0.44</v>
      </c>
      <c r="H21" s="21"/>
      <c r="J21" s="79"/>
      <c r="K21" s="79"/>
      <c r="L21" s="79"/>
      <c r="M21" s="79"/>
      <c r="N21" s="79"/>
    </row>
    <row r="22" spans="1:14" ht="15.75" customHeight="1" x14ac:dyDescent="0.25">
      <c r="A22" s="46">
        <f t="shared" si="1"/>
        <v>19</v>
      </c>
      <c r="B22" s="12">
        <v>1.74</v>
      </c>
      <c r="C22" s="19">
        <f t="shared" si="0"/>
        <v>1.1076666666666664</v>
      </c>
      <c r="D22" s="14"/>
      <c r="E22" s="14"/>
      <c r="F22" s="19">
        <f t="shared" si="2"/>
        <v>0.76</v>
      </c>
      <c r="G22" s="18">
        <f t="shared" si="3"/>
        <v>0.44</v>
      </c>
      <c r="H22" s="21"/>
      <c r="J22" s="79"/>
      <c r="K22" s="79"/>
      <c r="L22" s="79"/>
      <c r="M22" s="79"/>
      <c r="N22" s="79"/>
    </row>
    <row r="23" spans="1:14" ht="15.75" customHeight="1" x14ac:dyDescent="0.25">
      <c r="A23" s="47">
        <f t="shared" si="1"/>
        <v>20</v>
      </c>
      <c r="B23" s="13">
        <v>0.87</v>
      </c>
      <c r="C23" s="18">
        <f t="shared" si="0"/>
        <v>1.1076666666666664</v>
      </c>
      <c r="D23" s="14"/>
      <c r="E23" s="14"/>
      <c r="F23" s="18">
        <f t="shared" si="2"/>
        <v>0.87</v>
      </c>
      <c r="G23" s="18">
        <f t="shared" si="3"/>
        <v>0.44</v>
      </c>
      <c r="H23" s="21"/>
      <c r="J23" s="79"/>
      <c r="K23" s="79"/>
      <c r="L23" s="79"/>
      <c r="M23" s="79"/>
      <c r="N23" s="79"/>
    </row>
    <row r="24" spans="1:14" ht="15.75" customHeight="1" x14ac:dyDescent="0.25">
      <c r="A24" s="46">
        <f t="shared" si="1"/>
        <v>21</v>
      </c>
      <c r="B24" s="12">
        <v>0.93</v>
      </c>
      <c r="C24" s="19">
        <f t="shared" si="0"/>
        <v>1.1076666666666664</v>
      </c>
      <c r="D24" s="14"/>
      <c r="E24" s="14"/>
      <c r="F24" s="19">
        <f t="shared" si="2"/>
        <v>6.0000000000000053E-2</v>
      </c>
      <c r="G24" s="18">
        <f t="shared" si="3"/>
        <v>0.44</v>
      </c>
      <c r="H24" s="21"/>
      <c r="J24" s="79"/>
      <c r="K24" s="79"/>
      <c r="L24" s="79"/>
      <c r="M24" s="79"/>
      <c r="N24" s="79"/>
    </row>
    <row r="25" spans="1:14" ht="15.75" customHeight="1" x14ac:dyDescent="0.25">
      <c r="A25" s="47">
        <f t="shared" si="1"/>
        <v>22</v>
      </c>
      <c r="B25" s="13">
        <v>1.22</v>
      </c>
      <c r="C25" s="18">
        <f t="shared" si="0"/>
        <v>1.1076666666666664</v>
      </c>
      <c r="D25" s="14"/>
      <c r="E25" s="14"/>
      <c r="F25" s="18">
        <f t="shared" si="2"/>
        <v>0.28999999999999992</v>
      </c>
      <c r="G25" s="18">
        <f t="shared" si="3"/>
        <v>0.44</v>
      </c>
      <c r="H25" s="21"/>
      <c r="J25" s="79"/>
      <c r="K25" s="79"/>
      <c r="L25" s="79"/>
      <c r="M25" s="79"/>
      <c r="N25" s="79"/>
    </row>
    <row r="26" spans="1:14" ht="15.75" customHeight="1" x14ac:dyDescent="0.25">
      <c r="A26" s="46">
        <f t="shared" si="1"/>
        <v>23</v>
      </c>
      <c r="B26" s="12">
        <v>1.24</v>
      </c>
      <c r="C26" s="19">
        <f t="shared" si="0"/>
        <v>1.1076666666666664</v>
      </c>
      <c r="D26" s="14"/>
      <c r="E26" s="14"/>
      <c r="F26" s="19">
        <f t="shared" si="2"/>
        <v>2.0000000000000018E-2</v>
      </c>
      <c r="G26" s="18">
        <f t="shared" si="3"/>
        <v>0.44</v>
      </c>
      <c r="H26" s="21"/>
      <c r="J26" s="79"/>
      <c r="K26" s="79"/>
      <c r="L26" s="79"/>
      <c r="M26" s="79"/>
      <c r="N26" s="79"/>
    </row>
    <row r="27" spans="1:14" ht="15.75" customHeight="1" x14ac:dyDescent="0.25">
      <c r="A27" s="47">
        <f t="shared" si="1"/>
        <v>24</v>
      </c>
      <c r="B27" s="13">
        <v>1.26</v>
      </c>
      <c r="C27" s="18">
        <f t="shared" si="0"/>
        <v>1.1076666666666664</v>
      </c>
      <c r="D27" s="14"/>
      <c r="E27" s="14"/>
      <c r="F27" s="18">
        <f t="shared" si="2"/>
        <v>2.0000000000000018E-2</v>
      </c>
      <c r="G27" s="18">
        <f t="shared" si="3"/>
        <v>0.44</v>
      </c>
      <c r="H27" s="21"/>
      <c r="J27" s="79"/>
      <c r="K27" s="79"/>
      <c r="L27" s="79"/>
      <c r="M27" s="79"/>
      <c r="N27" s="79"/>
    </row>
    <row r="28" spans="1:14" ht="15.75" customHeight="1" x14ac:dyDescent="0.25">
      <c r="A28" s="46">
        <f t="shared" si="1"/>
        <v>25</v>
      </c>
      <c r="B28" s="12">
        <v>0</v>
      </c>
      <c r="C28" s="19">
        <f t="shared" si="0"/>
        <v>1.1076666666666664</v>
      </c>
      <c r="D28" s="14"/>
      <c r="E28" s="14"/>
      <c r="F28" s="19">
        <f t="shared" si="2"/>
        <v>1.26</v>
      </c>
      <c r="G28" s="18">
        <f t="shared" si="3"/>
        <v>0.44</v>
      </c>
      <c r="H28" s="21"/>
      <c r="J28" s="79"/>
      <c r="K28" s="79"/>
      <c r="L28" s="79"/>
      <c r="M28" s="79"/>
      <c r="N28" s="79"/>
    </row>
    <row r="29" spans="1:14" ht="15.75" customHeight="1" x14ac:dyDescent="0.25">
      <c r="A29" s="47">
        <f t="shared" si="1"/>
        <v>26</v>
      </c>
      <c r="B29" s="13">
        <v>1.0900000000000001</v>
      </c>
      <c r="C29" s="18">
        <f t="shared" si="0"/>
        <v>1.1076666666666664</v>
      </c>
      <c r="D29" s="14"/>
      <c r="E29" s="14"/>
      <c r="F29" s="18">
        <f t="shared" si="2"/>
        <v>1.0900000000000001</v>
      </c>
      <c r="G29" s="18">
        <f t="shared" si="3"/>
        <v>0.44</v>
      </c>
      <c r="H29" s="21"/>
      <c r="J29" s="79"/>
      <c r="K29" s="79"/>
      <c r="L29" s="79"/>
      <c r="M29" s="79"/>
      <c r="N29" s="79"/>
    </row>
    <row r="30" spans="1:14" ht="15.75" customHeight="1" x14ac:dyDescent="0.25">
      <c r="A30" s="46">
        <f t="shared" si="1"/>
        <v>27</v>
      </c>
      <c r="B30" s="12">
        <v>1.17</v>
      </c>
      <c r="C30" s="19">
        <f t="shared" si="0"/>
        <v>1.1076666666666664</v>
      </c>
      <c r="D30" s="14"/>
      <c r="E30" s="14"/>
      <c r="F30" s="19">
        <f t="shared" si="2"/>
        <v>7.9999999999999849E-2</v>
      </c>
      <c r="G30" s="18">
        <f t="shared" si="3"/>
        <v>0.44</v>
      </c>
      <c r="H30" s="21"/>
      <c r="J30" s="79"/>
      <c r="K30" s="79"/>
      <c r="L30" s="79"/>
      <c r="M30" s="79"/>
      <c r="N30" s="79"/>
    </row>
    <row r="31" spans="1:14" ht="15.75" customHeight="1" x14ac:dyDescent="0.25">
      <c r="A31" s="47">
        <f t="shared" si="1"/>
        <v>28</v>
      </c>
      <c r="B31" s="13">
        <v>0.88</v>
      </c>
      <c r="C31" s="18">
        <f t="shared" si="0"/>
        <v>1.1076666666666664</v>
      </c>
      <c r="D31" s="14"/>
      <c r="E31" s="14"/>
      <c r="F31" s="18">
        <f t="shared" si="2"/>
        <v>0.28999999999999992</v>
      </c>
      <c r="G31" s="18">
        <f t="shared" si="3"/>
        <v>0.44</v>
      </c>
      <c r="H31" s="21"/>
      <c r="J31" s="79"/>
      <c r="K31" s="79"/>
      <c r="L31" s="79"/>
      <c r="M31" s="79"/>
      <c r="N31" s="79"/>
    </row>
    <row r="32" spans="1:14" ht="15.75" customHeight="1" x14ac:dyDescent="0.25">
      <c r="A32" s="46">
        <f t="shared" si="1"/>
        <v>29</v>
      </c>
      <c r="B32" s="12">
        <v>1.1299999999999999</v>
      </c>
      <c r="C32" s="19">
        <f t="shared" si="0"/>
        <v>1.1076666666666664</v>
      </c>
      <c r="D32" s="14"/>
      <c r="E32" s="14"/>
      <c r="F32" s="19">
        <f t="shared" si="2"/>
        <v>0.24999999999999989</v>
      </c>
      <c r="G32" s="18">
        <f t="shared" si="3"/>
        <v>0.44</v>
      </c>
      <c r="H32" s="21"/>
      <c r="J32" s="79"/>
      <c r="K32" s="79"/>
      <c r="L32" s="79"/>
      <c r="M32" s="79"/>
      <c r="N32" s="79"/>
    </row>
    <row r="33" spans="1:14" ht="15.75" customHeight="1" x14ac:dyDescent="0.25">
      <c r="A33" s="47">
        <f t="shared" si="1"/>
        <v>30</v>
      </c>
      <c r="B33" s="13">
        <v>1.81</v>
      </c>
      <c r="C33" s="18">
        <f t="shared" si="0"/>
        <v>1.1076666666666664</v>
      </c>
      <c r="D33" s="14"/>
      <c r="E33" s="14"/>
      <c r="F33" s="18">
        <f t="shared" si="2"/>
        <v>0.68000000000000016</v>
      </c>
      <c r="G33" s="18">
        <f t="shared" si="3"/>
        <v>0.44</v>
      </c>
      <c r="H33" s="21"/>
      <c r="J33" s="79"/>
      <c r="K33" s="79"/>
      <c r="L33" s="79"/>
      <c r="M33" s="79"/>
      <c r="N33" s="79"/>
    </row>
    <row r="34" spans="1:14" ht="15.75" customHeight="1" x14ac:dyDescent="0.25">
      <c r="A34" s="46">
        <f t="shared" si="1"/>
        <v>31</v>
      </c>
      <c r="B34" s="12">
        <v>1.17</v>
      </c>
      <c r="C34" s="19">
        <f t="shared" si="0"/>
        <v>1.1076666666666664</v>
      </c>
      <c r="D34" s="14"/>
      <c r="E34" s="14"/>
      <c r="F34" s="19">
        <f t="shared" si="2"/>
        <v>0.64000000000000012</v>
      </c>
      <c r="G34" s="18">
        <f t="shared" si="3"/>
        <v>0.44</v>
      </c>
      <c r="H34" s="21"/>
      <c r="J34" s="79"/>
      <c r="K34" s="79"/>
      <c r="L34" s="79"/>
      <c r="M34" s="79"/>
      <c r="N34" s="79"/>
    </row>
    <row r="35" spans="1:14" ht="15.75" customHeight="1" x14ac:dyDescent="0.25">
      <c r="A35" s="47">
        <f t="shared" si="1"/>
        <v>32</v>
      </c>
      <c r="B35" s="13">
        <v>1.74</v>
      </c>
      <c r="C35" s="18">
        <f t="shared" si="0"/>
        <v>1.1076666666666664</v>
      </c>
      <c r="D35" s="14"/>
      <c r="E35" s="14"/>
      <c r="F35" s="18">
        <f t="shared" si="2"/>
        <v>0.57000000000000006</v>
      </c>
      <c r="G35" s="18">
        <f t="shared" si="3"/>
        <v>0.44</v>
      </c>
      <c r="H35" s="21"/>
      <c r="J35" s="79"/>
      <c r="K35" s="79"/>
      <c r="L35" s="79"/>
      <c r="M35" s="79"/>
      <c r="N35" s="79"/>
    </row>
    <row r="36" spans="1:14" ht="15.75" customHeight="1" x14ac:dyDescent="0.25">
      <c r="A36" s="46">
        <f t="shared" si="1"/>
        <v>33</v>
      </c>
      <c r="B36" s="12">
        <v>0.81</v>
      </c>
      <c r="C36" s="19">
        <f t="shared" si="0"/>
        <v>1.1076666666666664</v>
      </c>
      <c r="D36" s="14"/>
      <c r="E36" s="14"/>
      <c r="F36" s="19">
        <f t="shared" si="2"/>
        <v>0.92999999999999994</v>
      </c>
      <c r="G36" s="18">
        <f t="shared" si="3"/>
        <v>0.44</v>
      </c>
      <c r="H36" s="21"/>
      <c r="J36" s="79"/>
      <c r="K36" s="79"/>
      <c r="L36" s="79"/>
      <c r="M36" s="79"/>
      <c r="N36" s="79"/>
    </row>
    <row r="37" spans="1:14" ht="15.75" customHeight="1" x14ac:dyDescent="0.25">
      <c r="A37" s="47">
        <f t="shared" si="1"/>
        <v>34</v>
      </c>
      <c r="B37" s="13">
        <v>1.28</v>
      </c>
      <c r="C37" s="18">
        <f t="shared" si="0"/>
        <v>1.1076666666666664</v>
      </c>
      <c r="D37" s="14"/>
      <c r="E37" s="14"/>
      <c r="F37" s="18">
        <f t="shared" si="2"/>
        <v>0.47</v>
      </c>
      <c r="G37" s="18">
        <f t="shared" si="3"/>
        <v>0.44</v>
      </c>
      <c r="H37" s="21"/>
      <c r="J37" s="79"/>
      <c r="K37" s="79"/>
      <c r="L37" s="79"/>
      <c r="M37" s="79"/>
      <c r="N37" s="79"/>
    </row>
    <row r="38" spans="1:14" ht="15.75" customHeight="1" x14ac:dyDescent="0.25">
      <c r="A38" s="46">
        <f t="shared" si="1"/>
        <v>35</v>
      </c>
      <c r="B38" s="12">
        <v>0</v>
      </c>
      <c r="C38" s="19">
        <f t="shared" si="0"/>
        <v>1.1076666666666664</v>
      </c>
      <c r="D38" s="14"/>
      <c r="E38" s="14"/>
      <c r="F38" s="19">
        <f t="shared" si="2"/>
        <v>1.28</v>
      </c>
      <c r="G38" s="18">
        <f t="shared" si="3"/>
        <v>0.44</v>
      </c>
      <c r="H38" s="21"/>
      <c r="J38" s="79"/>
      <c r="K38" s="79"/>
      <c r="L38" s="79"/>
      <c r="M38" s="79"/>
      <c r="N38" s="79"/>
    </row>
    <row r="39" spans="1:14" ht="15.75" customHeight="1" x14ac:dyDescent="0.25">
      <c r="A39" s="47">
        <f t="shared" si="1"/>
        <v>36</v>
      </c>
      <c r="B39" s="13">
        <v>1.1100000000000001</v>
      </c>
      <c r="C39" s="18">
        <f t="shared" si="0"/>
        <v>1.1076666666666664</v>
      </c>
      <c r="D39" s="14"/>
      <c r="E39" s="14"/>
      <c r="F39" s="18">
        <f t="shared" si="2"/>
        <v>1.1100000000000001</v>
      </c>
      <c r="G39" s="18">
        <f t="shared" si="3"/>
        <v>0.44</v>
      </c>
      <c r="H39" s="21"/>
    </row>
    <row r="40" spans="1:14" ht="15.75" customHeight="1" x14ac:dyDescent="0.25">
      <c r="A40" s="46">
        <f t="shared" si="1"/>
        <v>37</v>
      </c>
      <c r="B40" s="12">
        <v>1.17</v>
      </c>
      <c r="C40" s="19">
        <f t="shared" si="0"/>
        <v>1.1076666666666664</v>
      </c>
      <c r="D40" s="14"/>
      <c r="E40" s="14"/>
      <c r="F40" s="19">
        <f t="shared" si="2"/>
        <v>5.9999999999999831E-2</v>
      </c>
      <c r="G40" s="18">
        <f t="shared" si="3"/>
        <v>0.44</v>
      </c>
      <c r="H40" s="21"/>
    </row>
    <row r="41" spans="1:14" ht="15.75" customHeight="1" x14ac:dyDescent="0.25">
      <c r="A41" s="47">
        <f t="shared" si="1"/>
        <v>38</v>
      </c>
      <c r="B41" s="13">
        <v>1.22</v>
      </c>
      <c r="C41" s="18">
        <f t="shared" si="0"/>
        <v>1.1076666666666664</v>
      </c>
      <c r="D41" s="14"/>
      <c r="E41" s="14"/>
      <c r="F41" s="18">
        <f t="shared" si="2"/>
        <v>5.0000000000000044E-2</v>
      </c>
      <c r="G41" s="18">
        <f t="shared" si="3"/>
        <v>0.44</v>
      </c>
      <c r="H41" s="21"/>
    </row>
    <row r="42" spans="1:14" ht="15.75" customHeight="1" x14ac:dyDescent="0.25">
      <c r="A42" s="46">
        <f t="shared" si="1"/>
        <v>39</v>
      </c>
      <c r="B42" s="12">
        <v>1.26</v>
      </c>
      <c r="C42" s="19">
        <f t="shared" si="0"/>
        <v>1.1076666666666664</v>
      </c>
      <c r="D42" s="14"/>
      <c r="E42" s="14"/>
      <c r="F42" s="19">
        <f t="shared" si="2"/>
        <v>4.0000000000000036E-2</v>
      </c>
      <c r="G42" s="18">
        <f t="shared" si="3"/>
        <v>0.44</v>
      </c>
      <c r="H42" s="21"/>
    </row>
    <row r="43" spans="1:14" ht="15.75" customHeight="1" x14ac:dyDescent="0.25">
      <c r="A43" s="47">
        <f t="shared" si="1"/>
        <v>40</v>
      </c>
      <c r="B43" s="13">
        <v>1.01</v>
      </c>
      <c r="C43" s="18">
        <f t="shared" si="0"/>
        <v>1.1076666666666664</v>
      </c>
      <c r="D43" s="14"/>
      <c r="E43" s="14"/>
      <c r="F43" s="18">
        <f t="shared" si="2"/>
        <v>0.25</v>
      </c>
      <c r="G43" s="18">
        <f t="shared" si="3"/>
        <v>0.44</v>
      </c>
      <c r="H43" s="21"/>
    </row>
    <row r="44" spans="1:14" ht="15.75" customHeight="1" x14ac:dyDescent="0.25">
      <c r="A44" s="46">
        <f t="shared" si="1"/>
        <v>41</v>
      </c>
      <c r="B44" s="12">
        <v>2.62</v>
      </c>
      <c r="C44" s="19">
        <f t="shared" si="0"/>
        <v>1.1076666666666664</v>
      </c>
      <c r="D44" s="14"/>
      <c r="E44" s="14"/>
      <c r="F44" s="19">
        <f t="shared" si="2"/>
        <v>1.61</v>
      </c>
      <c r="G44" s="18">
        <f t="shared" si="3"/>
        <v>0.44</v>
      </c>
      <c r="H44" s="21"/>
    </row>
    <row r="45" spans="1:14" ht="15.75" customHeight="1" x14ac:dyDescent="0.25">
      <c r="A45" s="47">
        <f t="shared" si="1"/>
        <v>42</v>
      </c>
      <c r="B45" s="13">
        <v>1.44</v>
      </c>
      <c r="C45" s="18">
        <f t="shared" si="0"/>
        <v>1.1076666666666664</v>
      </c>
      <c r="D45" s="14"/>
      <c r="E45" s="14"/>
      <c r="F45" s="18">
        <f t="shared" si="2"/>
        <v>1.1800000000000002</v>
      </c>
      <c r="G45" s="18">
        <f t="shared" si="3"/>
        <v>0.44</v>
      </c>
      <c r="H45" s="21"/>
    </row>
    <row r="46" spans="1:14" ht="15.75" customHeight="1" x14ac:dyDescent="0.25">
      <c r="A46" s="46">
        <f t="shared" si="1"/>
        <v>43</v>
      </c>
      <c r="B46" s="12">
        <v>1.24</v>
      </c>
      <c r="C46" s="19">
        <f t="shared" si="0"/>
        <v>1.1076666666666664</v>
      </c>
      <c r="D46" s="14"/>
      <c r="E46" s="14"/>
      <c r="F46" s="19">
        <f t="shared" si="2"/>
        <v>0.19999999999999996</v>
      </c>
      <c r="G46" s="18">
        <f t="shared" si="3"/>
        <v>0.44</v>
      </c>
      <c r="H46" s="21"/>
    </row>
    <row r="47" spans="1:14" ht="15.75" customHeight="1" x14ac:dyDescent="0.25">
      <c r="A47" s="47">
        <f t="shared" si="1"/>
        <v>44</v>
      </c>
      <c r="B47" s="13">
        <v>1.05</v>
      </c>
      <c r="C47" s="18">
        <f t="shared" si="0"/>
        <v>1.1076666666666664</v>
      </c>
      <c r="D47" s="14"/>
      <c r="E47" s="14"/>
      <c r="F47" s="18">
        <f t="shared" si="2"/>
        <v>0.18999999999999995</v>
      </c>
      <c r="G47" s="18">
        <f t="shared" si="3"/>
        <v>0.44</v>
      </c>
      <c r="H47" s="21"/>
    </row>
    <row r="48" spans="1:14" ht="15.75" customHeight="1" x14ac:dyDescent="0.25">
      <c r="A48" s="46">
        <f t="shared" si="1"/>
        <v>45</v>
      </c>
      <c r="B48" s="12">
        <v>1.02</v>
      </c>
      <c r="C48" s="19">
        <f t="shared" si="0"/>
        <v>1.1076666666666664</v>
      </c>
      <c r="D48" s="14"/>
      <c r="E48" s="14"/>
      <c r="F48" s="19">
        <f t="shared" si="2"/>
        <v>3.0000000000000027E-2</v>
      </c>
      <c r="G48" s="18">
        <f t="shared" si="3"/>
        <v>0.44</v>
      </c>
      <c r="H48" s="21"/>
    </row>
    <row r="49" spans="1:8" ht="15.75" customHeight="1" x14ac:dyDescent="0.25">
      <c r="A49" s="47">
        <f t="shared" si="1"/>
        <v>46</v>
      </c>
      <c r="B49" s="13">
        <v>0.99</v>
      </c>
      <c r="C49" s="18">
        <f t="shared" si="0"/>
        <v>1.1076666666666664</v>
      </c>
      <c r="D49" s="14"/>
      <c r="E49" s="14"/>
      <c r="F49" s="18">
        <f t="shared" si="2"/>
        <v>3.0000000000000027E-2</v>
      </c>
      <c r="G49" s="18">
        <f t="shared" si="3"/>
        <v>0.44</v>
      </c>
      <c r="H49" s="21"/>
    </row>
    <row r="50" spans="1:8" ht="15.75" customHeight="1" x14ac:dyDescent="0.25">
      <c r="A50" s="46">
        <f t="shared" si="1"/>
        <v>47</v>
      </c>
      <c r="B50" s="12">
        <v>0.9</v>
      </c>
      <c r="C50" s="19">
        <f t="shared" si="0"/>
        <v>1.1076666666666664</v>
      </c>
      <c r="D50" s="14"/>
      <c r="E50" s="14"/>
      <c r="F50" s="19">
        <f t="shared" si="2"/>
        <v>8.9999999999999969E-2</v>
      </c>
      <c r="G50" s="18">
        <f t="shared" si="3"/>
        <v>0.44</v>
      </c>
      <c r="H50" s="21"/>
    </row>
    <row r="51" spans="1:8" ht="15.75" customHeight="1" x14ac:dyDescent="0.25">
      <c r="A51" s="47">
        <f t="shared" si="1"/>
        <v>48</v>
      </c>
      <c r="B51" s="13">
        <v>0</v>
      </c>
      <c r="C51" s="18">
        <f t="shared" si="0"/>
        <v>1.1076666666666664</v>
      </c>
      <c r="D51" s="14"/>
      <c r="E51" s="14"/>
      <c r="F51" s="18">
        <f t="shared" si="2"/>
        <v>0.9</v>
      </c>
      <c r="G51" s="18">
        <f t="shared" si="3"/>
        <v>0.44</v>
      </c>
      <c r="H51" s="21"/>
    </row>
    <row r="52" spans="1:8" ht="15.75" customHeight="1" x14ac:dyDescent="0.25">
      <c r="A52" s="46">
        <f t="shared" si="1"/>
        <v>49</v>
      </c>
      <c r="B52" s="12">
        <v>1.1200000000000001</v>
      </c>
      <c r="C52" s="19">
        <f t="shared" si="0"/>
        <v>1.1076666666666664</v>
      </c>
      <c r="D52" s="14"/>
      <c r="E52" s="14"/>
      <c r="F52" s="19">
        <f t="shared" si="2"/>
        <v>1.1200000000000001</v>
      </c>
      <c r="G52" s="18">
        <f t="shared" si="3"/>
        <v>0.44</v>
      </c>
      <c r="H52" s="21"/>
    </row>
    <row r="53" spans="1:8" ht="15.75" customHeight="1" x14ac:dyDescent="0.25">
      <c r="A53" s="47">
        <f t="shared" si="1"/>
        <v>50</v>
      </c>
      <c r="B53" s="13">
        <v>1.23</v>
      </c>
      <c r="C53" s="18">
        <f t="shared" si="0"/>
        <v>1.1076666666666664</v>
      </c>
      <c r="D53" s="14"/>
      <c r="E53" s="14"/>
      <c r="F53" s="18">
        <f t="shared" si="2"/>
        <v>0.10999999999999988</v>
      </c>
      <c r="G53" s="18">
        <f t="shared" si="3"/>
        <v>0.44</v>
      </c>
      <c r="H53" s="21"/>
    </row>
    <row r="54" spans="1:8" ht="15.75" customHeight="1" x14ac:dyDescent="0.25">
      <c r="A54" s="46">
        <f t="shared" si="1"/>
        <v>51</v>
      </c>
      <c r="B54" s="12">
        <v>1.18</v>
      </c>
      <c r="C54" s="19">
        <f t="shared" si="0"/>
        <v>1.1076666666666664</v>
      </c>
      <c r="D54" s="14"/>
      <c r="E54" s="14"/>
      <c r="F54" s="19">
        <f t="shared" si="2"/>
        <v>5.0000000000000044E-2</v>
      </c>
      <c r="G54" s="18">
        <f t="shared" si="3"/>
        <v>0.44</v>
      </c>
      <c r="H54" s="21"/>
    </row>
    <row r="55" spans="1:8" ht="15.75" customHeight="1" x14ac:dyDescent="0.25">
      <c r="A55" s="47">
        <f t="shared" si="1"/>
        <v>52</v>
      </c>
      <c r="B55" s="13">
        <v>1.42</v>
      </c>
      <c r="C55" s="18">
        <f t="shared" si="0"/>
        <v>1.1076666666666664</v>
      </c>
      <c r="D55" s="14"/>
      <c r="E55" s="14"/>
      <c r="F55" s="18">
        <f t="shared" si="2"/>
        <v>0.24</v>
      </c>
      <c r="G55" s="18">
        <f t="shared" si="3"/>
        <v>0.44</v>
      </c>
      <c r="H55" s="21"/>
    </row>
    <row r="56" spans="1:8" ht="15.75" customHeight="1" x14ac:dyDescent="0.25">
      <c r="A56" s="46">
        <f t="shared" si="1"/>
        <v>53</v>
      </c>
      <c r="B56" s="12">
        <v>1.38</v>
      </c>
      <c r="C56" s="19">
        <f t="shared" si="0"/>
        <v>1.1076666666666664</v>
      </c>
      <c r="D56" s="14"/>
      <c r="E56" s="14"/>
      <c r="F56" s="19">
        <f t="shared" si="2"/>
        <v>4.0000000000000036E-2</v>
      </c>
      <c r="G56" s="18">
        <f t="shared" si="3"/>
        <v>0.44</v>
      </c>
      <c r="H56" s="21"/>
    </row>
    <row r="57" spans="1:8" ht="15.75" customHeight="1" x14ac:dyDescent="0.25">
      <c r="A57" s="47">
        <f t="shared" si="1"/>
        <v>54</v>
      </c>
      <c r="B57" s="13">
        <v>0.77</v>
      </c>
      <c r="C57" s="18">
        <f t="shared" si="0"/>
        <v>1.1076666666666664</v>
      </c>
      <c r="D57" s="14"/>
      <c r="E57" s="14"/>
      <c r="F57" s="18">
        <f t="shared" si="2"/>
        <v>0.60999999999999988</v>
      </c>
      <c r="G57" s="18">
        <f t="shared" si="3"/>
        <v>0.44</v>
      </c>
      <c r="H57" s="21"/>
    </row>
    <row r="58" spans="1:8" ht="15.75" customHeight="1" x14ac:dyDescent="0.25">
      <c r="A58" s="46">
        <f t="shared" si="1"/>
        <v>55</v>
      </c>
      <c r="B58" s="12">
        <v>0.97</v>
      </c>
      <c r="C58" s="19">
        <f t="shared" si="0"/>
        <v>1.1076666666666664</v>
      </c>
      <c r="D58" s="14"/>
      <c r="E58" s="14"/>
      <c r="F58" s="19">
        <f t="shared" si="2"/>
        <v>0.19999999999999996</v>
      </c>
      <c r="G58" s="18">
        <f t="shared" si="3"/>
        <v>0.44</v>
      </c>
      <c r="H58" s="21"/>
    </row>
    <row r="59" spans="1:8" ht="15.75" customHeight="1" x14ac:dyDescent="0.25">
      <c r="A59" s="47">
        <f t="shared" si="1"/>
        <v>56</v>
      </c>
      <c r="B59" s="13">
        <v>0.86</v>
      </c>
      <c r="C59" s="18">
        <f t="shared" si="0"/>
        <v>1.1076666666666664</v>
      </c>
      <c r="D59" s="14"/>
      <c r="E59" s="14"/>
      <c r="F59" s="18">
        <f t="shared" si="2"/>
        <v>0.10999999999999999</v>
      </c>
      <c r="G59" s="18">
        <f t="shared" si="3"/>
        <v>0.44</v>
      </c>
      <c r="H59" s="21"/>
    </row>
    <row r="60" spans="1:8" ht="15.75" customHeight="1" x14ac:dyDescent="0.25">
      <c r="A60" s="46">
        <f t="shared" si="1"/>
        <v>57</v>
      </c>
      <c r="B60" s="12">
        <v>1.56</v>
      </c>
      <c r="C60" s="19">
        <f t="shared" si="0"/>
        <v>1.1076666666666664</v>
      </c>
      <c r="D60" s="14"/>
      <c r="E60" s="14"/>
      <c r="F60" s="19">
        <f t="shared" si="2"/>
        <v>0.70000000000000007</v>
      </c>
      <c r="G60" s="18">
        <f t="shared" si="3"/>
        <v>0.44</v>
      </c>
      <c r="H60" s="21"/>
    </row>
    <row r="61" spans="1:8" ht="15.75" customHeight="1" x14ac:dyDescent="0.25">
      <c r="A61" s="47">
        <f t="shared" si="1"/>
        <v>58</v>
      </c>
      <c r="B61" s="13">
        <v>1.73</v>
      </c>
      <c r="C61" s="18">
        <f t="shared" si="0"/>
        <v>1.1076666666666664</v>
      </c>
      <c r="D61" s="14"/>
      <c r="E61" s="14"/>
      <c r="F61" s="18">
        <f t="shared" si="2"/>
        <v>0.16999999999999993</v>
      </c>
      <c r="G61" s="18">
        <f t="shared" si="3"/>
        <v>0.44</v>
      </c>
      <c r="H61" s="21"/>
    </row>
    <row r="62" spans="1:8" ht="15.75" customHeight="1" x14ac:dyDescent="0.25">
      <c r="A62" s="46">
        <f t="shared" si="1"/>
        <v>59</v>
      </c>
      <c r="B62" s="12">
        <v>1.64</v>
      </c>
      <c r="C62" s="19">
        <f t="shared" si="0"/>
        <v>1.1076666666666664</v>
      </c>
      <c r="D62" s="14"/>
      <c r="E62" s="14"/>
      <c r="F62" s="19">
        <f t="shared" si="2"/>
        <v>9.000000000000008E-2</v>
      </c>
      <c r="G62" s="18">
        <f t="shared" si="3"/>
        <v>0.44</v>
      </c>
      <c r="H62" s="21"/>
    </row>
    <row r="63" spans="1:8" ht="15.75" customHeight="1" x14ac:dyDescent="0.25">
      <c r="A63" s="48">
        <v>60</v>
      </c>
      <c r="B63" s="22">
        <v>1.49</v>
      </c>
      <c r="C63" s="23">
        <f t="shared" si="0"/>
        <v>1.1076666666666664</v>
      </c>
      <c r="D63" s="24"/>
      <c r="E63" s="24"/>
      <c r="F63" s="23">
        <f t="shared" si="2"/>
        <v>0.14999999999999991</v>
      </c>
      <c r="G63" s="23">
        <f t="shared" si="3"/>
        <v>0.44</v>
      </c>
      <c r="H63" s="25"/>
    </row>
    <row r="64" spans="1:8" ht="15.75" customHeight="1" x14ac:dyDescent="0.25"/>
  </sheetData>
  <mergeCells count="4">
    <mergeCell ref="A1:D1"/>
    <mergeCell ref="G1:H1"/>
    <mergeCell ref="J1:N1"/>
    <mergeCell ref="J2:N38"/>
  </mergeCells>
  <conditionalFormatting sqref="D4:E63 H4:H63">
    <cfRule type="containsBlanks" dxfId="5" priority="1">
      <formula>LEN(TRIM(D4))=0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64"/>
  <sheetViews>
    <sheetView showGridLines="0" workbookViewId="0">
      <selection activeCell="J1" sqref="J1:Q1"/>
    </sheetView>
  </sheetViews>
  <sheetFormatPr defaultColWidth="12.6640625" defaultRowHeight="15" customHeight="1" x14ac:dyDescent="0.25"/>
  <cols>
    <col min="1" max="1" width="18.88671875" customWidth="1"/>
    <col min="2" max="6" width="12.6640625" customWidth="1"/>
    <col min="9" max="9" width="3.21875" customWidth="1"/>
    <col min="15" max="15" width="12.6640625" customWidth="1"/>
    <col min="18" max="18" width="3.21875" customWidth="1"/>
  </cols>
  <sheetData>
    <row r="1" spans="1:17" ht="24.6" x14ac:dyDescent="0.55000000000000004">
      <c r="A1" s="69" t="s">
        <v>16</v>
      </c>
      <c r="B1" s="70"/>
      <c r="C1" s="70"/>
      <c r="D1" s="70"/>
      <c r="E1" s="2"/>
      <c r="F1" s="1"/>
      <c r="G1" s="84"/>
      <c r="H1" s="85"/>
      <c r="J1" s="86" t="s">
        <v>3</v>
      </c>
      <c r="K1" s="70"/>
      <c r="L1" s="70"/>
      <c r="M1" s="70"/>
      <c r="N1" s="70"/>
      <c r="O1" s="70"/>
      <c r="P1" s="70"/>
      <c r="Q1" s="70"/>
    </row>
    <row r="2" spans="1:17" ht="15.75" customHeight="1" x14ac:dyDescent="0.4">
      <c r="A2" s="3"/>
      <c r="B2" s="3"/>
      <c r="C2" s="3"/>
      <c r="D2" s="3"/>
      <c r="E2" s="3"/>
      <c r="F2" s="3"/>
      <c r="G2" s="3"/>
      <c r="H2" s="3"/>
      <c r="J2" s="87" t="s">
        <v>30</v>
      </c>
      <c r="K2" s="88"/>
      <c r="L2" s="88"/>
      <c r="M2" s="88"/>
      <c r="N2" s="88"/>
      <c r="O2" s="88"/>
      <c r="P2" s="88"/>
      <c r="Q2" s="89"/>
    </row>
    <row r="3" spans="1:17" ht="15.75" customHeight="1" x14ac:dyDescent="0.25">
      <c r="A3" s="38" t="s">
        <v>4</v>
      </c>
      <c r="B3" s="39" t="s">
        <v>5</v>
      </c>
      <c r="C3" s="39" t="s">
        <v>6</v>
      </c>
      <c r="D3" s="39" t="s">
        <v>7</v>
      </c>
      <c r="E3" s="39" t="s">
        <v>8</v>
      </c>
      <c r="F3" s="39" t="s">
        <v>9</v>
      </c>
      <c r="G3" s="39" t="s">
        <v>10</v>
      </c>
      <c r="H3" s="40" t="s">
        <v>11</v>
      </c>
      <c r="J3" s="90"/>
      <c r="K3" s="79"/>
      <c r="L3" s="79"/>
      <c r="M3" s="79"/>
      <c r="N3" s="79"/>
      <c r="O3" s="79"/>
      <c r="P3" s="79"/>
      <c r="Q3" s="91"/>
    </row>
    <row r="4" spans="1:17" ht="15.75" customHeight="1" x14ac:dyDescent="0.25">
      <c r="A4" s="43">
        <v>1</v>
      </c>
      <c r="B4" s="12">
        <v>0</v>
      </c>
      <c r="C4" s="19">
        <f t="shared" ref="C4:C63" si="0">AVERAGE($B$4:$B$63)</f>
        <v>1.1076666666666664</v>
      </c>
      <c r="D4" s="19">
        <f t="shared" ref="D4:D63" si="1">C4+(2.66*G4)</f>
        <v>2.2780666666666667</v>
      </c>
      <c r="E4" s="26">
        <f t="shared" ref="E4:E63" si="2">MAX(0,C4-(2.66*G4))</f>
        <v>0</v>
      </c>
      <c r="F4" s="17"/>
      <c r="G4" s="19">
        <f>ROUND(AVERAGE($F$5:$F$63),2)</f>
        <v>0.44</v>
      </c>
      <c r="H4" s="27">
        <f t="shared" ref="H4:H63" si="3">3.268*G4</f>
        <v>1.4379199999999999</v>
      </c>
      <c r="J4" s="90"/>
      <c r="K4" s="79"/>
      <c r="L4" s="79"/>
      <c r="M4" s="79"/>
      <c r="N4" s="79"/>
      <c r="O4" s="79"/>
      <c r="P4" s="79"/>
      <c r="Q4" s="91"/>
    </row>
    <row r="5" spans="1:17" ht="15.75" customHeight="1" x14ac:dyDescent="0.25">
      <c r="A5" s="44">
        <f t="shared" ref="A5:A62" si="4">A4+1</f>
        <v>2</v>
      </c>
      <c r="B5" s="13">
        <v>0.82</v>
      </c>
      <c r="C5" s="18">
        <f t="shared" si="0"/>
        <v>1.1076666666666664</v>
      </c>
      <c r="D5" s="18">
        <f t="shared" si="1"/>
        <v>2.2780666666666667</v>
      </c>
      <c r="E5" s="28">
        <f t="shared" si="2"/>
        <v>0</v>
      </c>
      <c r="F5" s="18">
        <f t="shared" ref="F5:F63" si="5">ABS(B4-B5)</f>
        <v>0.82</v>
      </c>
      <c r="G5" s="18">
        <f t="shared" ref="G5:G63" si="6">G4</f>
        <v>0.44</v>
      </c>
      <c r="H5" s="29">
        <f t="shared" si="3"/>
        <v>1.4379199999999999</v>
      </c>
      <c r="J5" s="90"/>
      <c r="K5" s="79"/>
      <c r="L5" s="79"/>
      <c r="M5" s="79"/>
      <c r="N5" s="79"/>
      <c r="O5" s="79"/>
      <c r="P5" s="79"/>
      <c r="Q5" s="91"/>
    </row>
    <row r="6" spans="1:17" ht="15.75" customHeight="1" x14ac:dyDescent="0.25">
      <c r="A6" s="43">
        <f t="shared" si="4"/>
        <v>3</v>
      </c>
      <c r="B6" s="12">
        <v>0.98</v>
      </c>
      <c r="C6" s="19">
        <f t="shared" si="0"/>
        <v>1.1076666666666664</v>
      </c>
      <c r="D6" s="19">
        <f t="shared" si="1"/>
        <v>2.2780666666666667</v>
      </c>
      <c r="E6" s="26">
        <f t="shared" si="2"/>
        <v>0</v>
      </c>
      <c r="F6" s="19">
        <f t="shared" si="5"/>
        <v>0.16000000000000003</v>
      </c>
      <c r="G6" s="18">
        <f t="shared" si="6"/>
        <v>0.44</v>
      </c>
      <c r="H6" s="27">
        <f t="shared" si="3"/>
        <v>1.4379199999999999</v>
      </c>
      <c r="J6" s="90"/>
      <c r="K6" s="79"/>
      <c r="L6" s="79"/>
      <c r="M6" s="79"/>
      <c r="N6" s="79"/>
      <c r="O6" s="79"/>
      <c r="P6" s="79"/>
      <c r="Q6" s="91"/>
    </row>
    <row r="7" spans="1:17" ht="15.75" customHeight="1" x14ac:dyDescent="0.25">
      <c r="A7" s="44">
        <f t="shared" si="4"/>
        <v>4</v>
      </c>
      <c r="B7" s="13">
        <v>0.89</v>
      </c>
      <c r="C7" s="18">
        <f t="shared" si="0"/>
        <v>1.1076666666666664</v>
      </c>
      <c r="D7" s="18">
        <f t="shared" si="1"/>
        <v>2.2780666666666667</v>
      </c>
      <c r="E7" s="28">
        <f t="shared" si="2"/>
        <v>0</v>
      </c>
      <c r="F7" s="18">
        <f t="shared" si="5"/>
        <v>8.9999999999999969E-2</v>
      </c>
      <c r="G7" s="18">
        <f t="shared" si="6"/>
        <v>0.44</v>
      </c>
      <c r="H7" s="29">
        <f t="shared" si="3"/>
        <v>1.4379199999999999</v>
      </c>
      <c r="J7" s="90"/>
      <c r="K7" s="79"/>
      <c r="L7" s="79"/>
      <c r="M7" s="79"/>
      <c r="N7" s="79"/>
      <c r="O7" s="79"/>
      <c r="P7" s="79"/>
      <c r="Q7" s="91"/>
    </row>
    <row r="8" spans="1:17" ht="15.75" customHeight="1" x14ac:dyDescent="0.25">
      <c r="A8" s="43">
        <f t="shared" si="4"/>
        <v>5</v>
      </c>
      <c r="B8" s="12">
        <v>1.76</v>
      </c>
      <c r="C8" s="19">
        <f t="shared" si="0"/>
        <v>1.1076666666666664</v>
      </c>
      <c r="D8" s="19">
        <f t="shared" si="1"/>
        <v>2.2780666666666667</v>
      </c>
      <c r="E8" s="26">
        <f t="shared" si="2"/>
        <v>0</v>
      </c>
      <c r="F8" s="19">
        <f t="shared" si="5"/>
        <v>0.87</v>
      </c>
      <c r="G8" s="18">
        <f t="shared" si="6"/>
        <v>0.44</v>
      </c>
      <c r="H8" s="27">
        <f t="shared" si="3"/>
        <v>1.4379199999999999</v>
      </c>
      <c r="J8" s="90"/>
      <c r="K8" s="79"/>
      <c r="L8" s="79"/>
      <c r="M8" s="79"/>
      <c r="N8" s="79"/>
      <c r="O8" s="79"/>
      <c r="P8" s="79"/>
      <c r="Q8" s="91"/>
    </row>
    <row r="9" spans="1:17" ht="15.75" customHeight="1" x14ac:dyDescent="0.25">
      <c r="A9" s="44">
        <f t="shared" si="4"/>
        <v>6</v>
      </c>
      <c r="B9" s="13">
        <v>1.1200000000000001</v>
      </c>
      <c r="C9" s="18">
        <f t="shared" si="0"/>
        <v>1.1076666666666664</v>
      </c>
      <c r="D9" s="18">
        <f t="shared" si="1"/>
        <v>2.2780666666666667</v>
      </c>
      <c r="E9" s="28">
        <f t="shared" si="2"/>
        <v>0</v>
      </c>
      <c r="F9" s="18">
        <f t="shared" si="5"/>
        <v>0.6399999999999999</v>
      </c>
      <c r="G9" s="18">
        <f t="shared" si="6"/>
        <v>0.44</v>
      </c>
      <c r="H9" s="29">
        <f t="shared" si="3"/>
        <v>1.4379199999999999</v>
      </c>
      <c r="J9" s="90"/>
      <c r="K9" s="79"/>
      <c r="L9" s="79"/>
      <c r="M9" s="79"/>
      <c r="N9" s="79"/>
      <c r="O9" s="79"/>
      <c r="P9" s="79"/>
      <c r="Q9" s="91"/>
    </row>
    <row r="10" spans="1:17" ht="15.75" customHeight="1" x14ac:dyDescent="0.25">
      <c r="A10" s="43">
        <f t="shared" si="4"/>
        <v>7</v>
      </c>
      <c r="B10" s="12">
        <v>0.98</v>
      </c>
      <c r="C10" s="19">
        <f t="shared" si="0"/>
        <v>1.1076666666666664</v>
      </c>
      <c r="D10" s="19">
        <f t="shared" si="1"/>
        <v>2.2780666666666667</v>
      </c>
      <c r="E10" s="26">
        <f t="shared" si="2"/>
        <v>0</v>
      </c>
      <c r="F10" s="19">
        <f t="shared" si="5"/>
        <v>0.14000000000000012</v>
      </c>
      <c r="G10" s="18">
        <f t="shared" si="6"/>
        <v>0.44</v>
      </c>
      <c r="H10" s="27">
        <f t="shared" si="3"/>
        <v>1.4379199999999999</v>
      </c>
      <c r="J10" s="90"/>
      <c r="K10" s="79"/>
      <c r="L10" s="79"/>
      <c r="M10" s="79"/>
      <c r="N10" s="79"/>
      <c r="O10" s="79"/>
      <c r="P10" s="79"/>
      <c r="Q10" s="91"/>
    </row>
    <row r="11" spans="1:17" ht="15.75" customHeight="1" x14ac:dyDescent="0.25">
      <c r="A11" s="44">
        <f t="shared" si="4"/>
        <v>8</v>
      </c>
      <c r="B11" s="13">
        <v>1.72</v>
      </c>
      <c r="C11" s="18">
        <f t="shared" si="0"/>
        <v>1.1076666666666664</v>
      </c>
      <c r="D11" s="18">
        <f t="shared" si="1"/>
        <v>2.2780666666666667</v>
      </c>
      <c r="E11" s="28">
        <f t="shared" si="2"/>
        <v>0</v>
      </c>
      <c r="F11" s="18">
        <f t="shared" si="5"/>
        <v>0.74</v>
      </c>
      <c r="G11" s="18">
        <f t="shared" si="6"/>
        <v>0.44</v>
      </c>
      <c r="H11" s="29">
        <f t="shared" si="3"/>
        <v>1.4379199999999999</v>
      </c>
      <c r="J11" s="90"/>
      <c r="K11" s="79"/>
      <c r="L11" s="79"/>
      <c r="M11" s="79"/>
      <c r="N11" s="79"/>
      <c r="O11" s="79"/>
      <c r="P11" s="79"/>
      <c r="Q11" s="91"/>
    </row>
    <row r="12" spans="1:17" ht="15.75" customHeight="1" x14ac:dyDescent="0.25">
      <c r="A12" s="43">
        <f t="shared" si="4"/>
        <v>9</v>
      </c>
      <c r="B12" s="12">
        <v>0.76</v>
      </c>
      <c r="C12" s="19">
        <f t="shared" si="0"/>
        <v>1.1076666666666664</v>
      </c>
      <c r="D12" s="19">
        <f t="shared" si="1"/>
        <v>2.2780666666666667</v>
      </c>
      <c r="E12" s="26">
        <f t="shared" si="2"/>
        <v>0</v>
      </c>
      <c r="F12" s="19">
        <f t="shared" si="5"/>
        <v>0.96</v>
      </c>
      <c r="G12" s="18">
        <f t="shared" si="6"/>
        <v>0.44</v>
      </c>
      <c r="H12" s="27">
        <f t="shared" si="3"/>
        <v>1.4379199999999999</v>
      </c>
      <c r="J12" s="90"/>
      <c r="K12" s="79"/>
      <c r="L12" s="79"/>
      <c r="M12" s="79"/>
      <c r="N12" s="79"/>
      <c r="O12" s="79"/>
      <c r="P12" s="79"/>
      <c r="Q12" s="91"/>
    </row>
    <row r="13" spans="1:17" ht="15.75" customHeight="1" x14ac:dyDescent="0.25">
      <c r="A13" s="44">
        <f t="shared" si="4"/>
        <v>10</v>
      </c>
      <c r="B13" s="13">
        <v>0.81</v>
      </c>
      <c r="C13" s="18">
        <f t="shared" si="0"/>
        <v>1.1076666666666664</v>
      </c>
      <c r="D13" s="18">
        <f t="shared" si="1"/>
        <v>2.2780666666666667</v>
      </c>
      <c r="E13" s="28">
        <f t="shared" si="2"/>
        <v>0</v>
      </c>
      <c r="F13" s="18">
        <f t="shared" si="5"/>
        <v>5.0000000000000044E-2</v>
      </c>
      <c r="G13" s="18">
        <f t="shared" si="6"/>
        <v>0.44</v>
      </c>
      <c r="H13" s="29">
        <f t="shared" si="3"/>
        <v>1.4379199999999999</v>
      </c>
      <c r="J13" s="90"/>
      <c r="K13" s="79"/>
      <c r="L13" s="79"/>
      <c r="M13" s="79"/>
      <c r="N13" s="79"/>
      <c r="O13" s="79"/>
      <c r="P13" s="79"/>
      <c r="Q13" s="91"/>
    </row>
    <row r="14" spans="1:17" ht="15.75" customHeight="1" x14ac:dyDescent="0.25">
      <c r="A14" s="43">
        <f t="shared" si="4"/>
        <v>11</v>
      </c>
      <c r="B14" s="12">
        <v>1.43</v>
      </c>
      <c r="C14" s="19">
        <f t="shared" si="0"/>
        <v>1.1076666666666664</v>
      </c>
      <c r="D14" s="19">
        <f t="shared" si="1"/>
        <v>2.2780666666666667</v>
      </c>
      <c r="E14" s="26">
        <f t="shared" si="2"/>
        <v>0</v>
      </c>
      <c r="F14" s="19">
        <f t="shared" si="5"/>
        <v>0.61999999999999988</v>
      </c>
      <c r="G14" s="18">
        <f t="shared" si="6"/>
        <v>0.44</v>
      </c>
      <c r="H14" s="27">
        <f t="shared" si="3"/>
        <v>1.4379199999999999</v>
      </c>
      <c r="J14" s="90"/>
      <c r="K14" s="79"/>
      <c r="L14" s="79"/>
      <c r="M14" s="79"/>
      <c r="N14" s="79"/>
      <c r="O14" s="79"/>
      <c r="P14" s="79"/>
      <c r="Q14" s="91"/>
    </row>
    <row r="15" spans="1:17" ht="15.75" customHeight="1" x14ac:dyDescent="0.25">
      <c r="A15" s="44">
        <f t="shared" si="4"/>
        <v>12</v>
      </c>
      <c r="B15" s="13">
        <v>0.81</v>
      </c>
      <c r="C15" s="18">
        <f t="shared" si="0"/>
        <v>1.1076666666666664</v>
      </c>
      <c r="D15" s="18">
        <f t="shared" si="1"/>
        <v>2.2780666666666667</v>
      </c>
      <c r="E15" s="28">
        <f t="shared" si="2"/>
        <v>0</v>
      </c>
      <c r="F15" s="18">
        <f t="shared" si="5"/>
        <v>0.61999999999999988</v>
      </c>
      <c r="G15" s="18">
        <f t="shared" si="6"/>
        <v>0.44</v>
      </c>
      <c r="H15" s="29">
        <f t="shared" si="3"/>
        <v>1.4379199999999999</v>
      </c>
      <c r="J15" s="90"/>
      <c r="K15" s="79"/>
      <c r="L15" s="79"/>
      <c r="M15" s="79"/>
      <c r="N15" s="79"/>
      <c r="O15" s="79"/>
      <c r="P15" s="79"/>
      <c r="Q15" s="91"/>
    </row>
    <row r="16" spans="1:17" ht="15.75" customHeight="1" x14ac:dyDescent="0.25">
      <c r="A16" s="43">
        <f t="shared" si="4"/>
        <v>13</v>
      </c>
      <c r="B16" s="12">
        <v>0.86</v>
      </c>
      <c r="C16" s="19">
        <f t="shared" si="0"/>
        <v>1.1076666666666664</v>
      </c>
      <c r="D16" s="19">
        <f t="shared" si="1"/>
        <v>2.2780666666666667</v>
      </c>
      <c r="E16" s="26">
        <f t="shared" si="2"/>
        <v>0</v>
      </c>
      <c r="F16" s="19">
        <f t="shared" si="5"/>
        <v>4.9999999999999933E-2</v>
      </c>
      <c r="G16" s="18">
        <f t="shared" si="6"/>
        <v>0.44</v>
      </c>
      <c r="H16" s="27">
        <f t="shared" si="3"/>
        <v>1.4379199999999999</v>
      </c>
      <c r="J16" s="90"/>
      <c r="K16" s="79"/>
      <c r="L16" s="79"/>
      <c r="M16" s="79"/>
      <c r="N16" s="79"/>
      <c r="O16" s="79"/>
      <c r="P16" s="79"/>
      <c r="Q16" s="91"/>
    </row>
    <row r="17" spans="1:17" ht="15.75" customHeight="1" x14ac:dyDescent="0.25">
      <c r="A17" s="44">
        <f t="shared" si="4"/>
        <v>14</v>
      </c>
      <c r="B17" s="13">
        <v>0.79</v>
      </c>
      <c r="C17" s="18">
        <f t="shared" si="0"/>
        <v>1.1076666666666664</v>
      </c>
      <c r="D17" s="18">
        <f t="shared" si="1"/>
        <v>2.2780666666666667</v>
      </c>
      <c r="E17" s="28">
        <f t="shared" si="2"/>
        <v>0</v>
      </c>
      <c r="F17" s="18">
        <f t="shared" si="5"/>
        <v>6.9999999999999951E-2</v>
      </c>
      <c r="G17" s="18">
        <f t="shared" si="6"/>
        <v>0.44</v>
      </c>
      <c r="H17" s="29">
        <f t="shared" si="3"/>
        <v>1.4379199999999999</v>
      </c>
      <c r="J17" s="90"/>
      <c r="K17" s="79"/>
      <c r="L17" s="79"/>
      <c r="M17" s="79"/>
      <c r="N17" s="79"/>
      <c r="O17" s="79"/>
      <c r="P17" s="79"/>
      <c r="Q17" s="91"/>
    </row>
    <row r="18" spans="1:17" ht="15.75" customHeight="1" x14ac:dyDescent="0.25">
      <c r="A18" s="43">
        <f t="shared" si="4"/>
        <v>15</v>
      </c>
      <c r="B18" s="12">
        <v>1.25</v>
      </c>
      <c r="C18" s="19">
        <f t="shared" si="0"/>
        <v>1.1076666666666664</v>
      </c>
      <c r="D18" s="19">
        <f t="shared" si="1"/>
        <v>2.2780666666666667</v>
      </c>
      <c r="E18" s="26">
        <f t="shared" si="2"/>
        <v>0</v>
      </c>
      <c r="F18" s="19">
        <f t="shared" si="5"/>
        <v>0.45999999999999996</v>
      </c>
      <c r="G18" s="18">
        <f t="shared" si="6"/>
        <v>0.44</v>
      </c>
      <c r="H18" s="27">
        <f t="shared" si="3"/>
        <v>1.4379199999999999</v>
      </c>
      <c r="J18" s="90"/>
      <c r="K18" s="79"/>
      <c r="L18" s="79"/>
      <c r="M18" s="79"/>
      <c r="N18" s="79"/>
      <c r="O18" s="79"/>
      <c r="P18" s="79"/>
      <c r="Q18" s="91"/>
    </row>
    <row r="19" spans="1:17" ht="15.75" customHeight="1" x14ac:dyDescent="0.25">
      <c r="A19" s="44">
        <f t="shared" si="4"/>
        <v>16</v>
      </c>
      <c r="B19" s="13">
        <v>0.79</v>
      </c>
      <c r="C19" s="18">
        <f t="shared" si="0"/>
        <v>1.1076666666666664</v>
      </c>
      <c r="D19" s="18">
        <f t="shared" si="1"/>
        <v>2.2780666666666667</v>
      </c>
      <c r="E19" s="28">
        <f t="shared" si="2"/>
        <v>0</v>
      </c>
      <c r="F19" s="18">
        <f t="shared" si="5"/>
        <v>0.45999999999999996</v>
      </c>
      <c r="G19" s="18">
        <f t="shared" si="6"/>
        <v>0.44</v>
      </c>
      <c r="H19" s="29">
        <f t="shared" si="3"/>
        <v>1.4379199999999999</v>
      </c>
      <c r="J19" s="90"/>
      <c r="K19" s="79"/>
      <c r="L19" s="79"/>
      <c r="M19" s="79"/>
      <c r="N19" s="79"/>
      <c r="O19" s="79"/>
      <c r="P19" s="79"/>
      <c r="Q19" s="91"/>
    </row>
    <row r="20" spans="1:17" ht="15.75" customHeight="1" x14ac:dyDescent="0.25">
      <c r="A20" s="43">
        <f t="shared" si="4"/>
        <v>17</v>
      </c>
      <c r="B20" s="12">
        <v>0.99</v>
      </c>
      <c r="C20" s="19">
        <f t="shared" si="0"/>
        <v>1.1076666666666664</v>
      </c>
      <c r="D20" s="19">
        <f t="shared" si="1"/>
        <v>2.2780666666666667</v>
      </c>
      <c r="E20" s="26">
        <f t="shared" si="2"/>
        <v>0</v>
      </c>
      <c r="F20" s="19">
        <f t="shared" si="5"/>
        <v>0.19999999999999996</v>
      </c>
      <c r="G20" s="18">
        <f t="shared" si="6"/>
        <v>0.44</v>
      </c>
      <c r="H20" s="27">
        <f t="shared" si="3"/>
        <v>1.4379199999999999</v>
      </c>
      <c r="J20" s="90"/>
      <c r="K20" s="79"/>
      <c r="L20" s="79"/>
      <c r="M20" s="79"/>
      <c r="N20" s="79"/>
      <c r="O20" s="79"/>
      <c r="P20" s="79"/>
      <c r="Q20" s="91"/>
    </row>
    <row r="21" spans="1:17" ht="15.75" customHeight="1" x14ac:dyDescent="0.25">
      <c r="A21" s="44">
        <f t="shared" si="4"/>
        <v>18</v>
      </c>
      <c r="B21" s="13">
        <v>0.98</v>
      </c>
      <c r="C21" s="18">
        <f t="shared" si="0"/>
        <v>1.1076666666666664</v>
      </c>
      <c r="D21" s="18">
        <f t="shared" si="1"/>
        <v>2.2780666666666667</v>
      </c>
      <c r="E21" s="28">
        <f t="shared" si="2"/>
        <v>0</v>
      </c>
      <c r="F21" s="18">
        <f t="shared" si="5"/>
        <v>1.0000000000000009E-2</v>
      </c>
      <c r="G21" s="18">
        <f t="shared" si="6"/>
        <v>0.44</v>
      </c>
      <c r="H21" s="29">
        <f t="shared" si="3"/>
        <v>1.4379199999999999</v>
      </c>
      <c r="J21" s="90"/>
      <c r="K21" s="79"/>
      <c r="L21" s="79"/>
      <c r="M21" s="79"/>
      <c r="N21" s="79"/>
      <c r="O21" s="79"/>
      <c r="P21" s="79"/>
      <c r="Q21" s="91"/>
    </row>
    <row r="22" spans="1:17" ht="15.75" customHeight="1" x14ac:dyDescent="0.25">
      <c r="A22" s="43">
        <f t="shared" si="4"/>
        <v>19</v>
      </c>
      <c r="B22" s="12">
        <v>1.74</v>
      </c>
      <c r="C22" s="19">
        <f t="shared" si="0"/>
        <v>1.1076666666666664</v>
      </c>
      <c r="D22" s="19">
        <f t="shared" si="1"/>
        <v>2.2780666666666667</v>
      </c>
      <c r="E22" s="26">
        <f t="shared" si="2"/>
        <v>0</v>
      </c>
      <c r="F22" s="19">
        <f t="shared" si="5"/>
        <v>0.76</v>
      </c>
      <c r="G22" s="18">
        <f t="shared" si="6"/>
        <v>0.44</v>
      </c>
      <c r="H22" s="27">
        <f t="shared" si="3"/>
        <v>1.4379199999999999</v>
      </c>
      <c r="J22" s="90"/>
      <c r="K22" s="79"/>
      <c r="L22" s="79"/>
      <c r="M22" s="79"/>
      <c r="N22" s="79"/>
      <c r="O22" s="79"/>
      <c r="P22" s="79"/>
      <c r="Q22" s="91"/>
    </row>
    <row r="23" spans="1:17" ht="15.75" customHeight="1" x14ac:dyDescent="0.25">
      <c r="A23" s="44">
        <f t="shared" si="4"/>
        <v>20</v>
      </c>
      <c r="B23" s="13">
        <v>0.87</v>
      </c>
      <c r="C23" s="18">
        <f t="shared" si="0"/>
        <v>1.1076666666666664</v>
      </c>
      <c r="D23" s="18">
        <f t="shared" si="1"/>
        <v>2.2780666666666667</v>
      </c>
      <c r="E23" s="28">
        <f t="shared" si="2"/>
        <v>0</v>
      </c>
      <c r="F23" s="18">
        <f t="shared" si="5"/>
        <v>0.87</v>
      </c>
      <c r="G23" s="18">
        <f t="shared" si="6"/>
        <v>0.44</v>
      </c>
      <c r="H23" s="29">
        <f t="shared" si="3"/>
        <v>1.4379199999999999</v>
      </c>
      <c r="J23" s="90"/>
      <c r="K23" s="79"/>
      <c r="L23" s="79"/>
      <c r="M23" s="79"/>
      <c r="N23" s="79"/>
      <c r="O23" s="79"/>
      <c r="P23" s="79"/>
      <c r="Q23" s="91"/>
    </row>
    <row r="24" spans="1:17" ht="15.75" customHeight="1" x14ac:dyDescent="0.25">
      <c r="A24" s="43">
        <f t="shared" si="4"/>
        <v>21</v>
      </c>
      <c r="B24" s="12">
        <v>0.93</v>
      </c>
      <c r="C24" s="19">
        <f t="shared" si="0"/>
        <v>1.1076666666666664</v>
      </c>
      <c r="D24" s="19">
        <f t="shared" si="1"/>
        <v>2.2780666666666667</v>
      </c>
      <c r="E24" s="26">
        <f t="shared" si="2"/>
        <v>0</v>
      </c>
      <c r="F24" s="19">
        <f t="shared" si="5"/>
        <v>6.0000000000000053E-2</v>
      </c>
      <c r="G24" s="18">
        <f t="shared" si="6"/>
        <v>0.44</v>
      </c>
      <c r="H24" s="27">
        <f t="shared" si="3"/>
        <v>1.4379199999999999</v>
      </c>
      <c r="J24" s="90"/>
      <c r="K24" s="79"/>
      <c r="L24" s="79"/>
      <c r="M24" s="79"/>
      <c r="N24" s="79"/>
      <c r="O24" s="79"/>
      <c r="P24" s="79"/>
      <c r="Q24" s="91"/>
    </row>
    <row r="25" spans="1:17" ht="15.75" customHeight="1" x14ac:dyDescent="0.25">
      <c r="A25" s="44">
        <f t="shared" si="4"/>
        <v>22</v>
      </c>
      <c r="B25" s="13">
        <v>1.22</v>
      </c>
      <c r="C25" s="18">
        <f t="shared" si="0"/>
        <v>1.1076666666666664</v>
      </c>
      <c r="D25" s="18">
        <f t="shared" si="1"/>
        <v>2.2780666666666667</v>
      </c>
      <c r="E25" s="28">
        <f t="shared" si="2"/>
        <v>0</v>
      </c>
      <c r="F25" s="18">
        <f t="shared" si="5"/>
        <v>0.28999999999999992</v>
      </c>
      <c r="G25" s="18">
        <f t="shared" si="6"/>
        <v>0.44</v>
      </c>
      <c r="H25" s="29">
        <f t="shared" si="3"/>
        <v>1.4379199999999999</v>
      </c>
      <c r="J25" s="92" t="s">
        <v>17</v>
      </c>
      <c r="K25" s="93"/>
      <c r="L25" s="93"/>
      <c r="M25" s="93"/>
      <c r="N25" s="93"/>
      <c r="O25" s="93"/>
      <c r="P25" s="93"/>
      <c r="Q25" s="94"/>
    </row>
    <row r="26" spans="1:17" ht="15.75" customHeight="1" x14ac:dyDescent="0.25">
      <c r="A26" s="43">
        <f t="shared" si="4"/>
        <v>23</v>
      </c>
      <c r="B26" s="12">
        <v>1.24</v>
      </c>
      <c r="C26" s="19">
        <f t="shared" si="0"/>
        <v>1.1076666666666664</v>
      </c>
      <c r="D26" s="19">
        <f t="shared" si="1"/>
        <v>2.2780666666666667</v>
      </c>
      <c r="E26" s="26">
        <f t="shared" si="2"/>
        <v>0</v>
      </c>
      <c r="F26" s="19">
        <f t="shared" si="5"/>
        <v>2.0000000000000018E-2</v>
      </c>
      <c r="G26" s="18">
        <f t="shared" si="6"/>
        <v>0.44</v>
      </c>
      <c r="H26" s="27">
        <f t="shared" si="3"/>
        <v>1.4379199999999999</v>
      </c>
      <c r="J26" s="95"/>
      <c r="K26" s="96"/>
      <c r="L26" s="96"/>
      <c r="M26" s="96"/>
      <c r="N26" s="96"/>
      <c r="O26" s="96"/>
      <c r="P26" s="96"/>
      <c r="Q26" s="97"/>
    </row>
    <row r="27" spans="1:17" ht="15.75" customHeight="1" x14ac:dyDescent="0.25">
      <c r="A27" s="44">
        <f t="shared" si="4"/>
        <v>24</v>
      </c>
      <c r="B27" s="13">
        <v>1.26</v>
      </c>
      <c r="C27" s="18">
        <f t="shared" si="0"/>
        <v>1.1076666666666664</v>
      </c>
      <c r="D27" s="18">
        <f t="shared" si="1"/>
        <v>2.2780666666666667</v>
      </c>
      <c r="E27" s="28">
        <f t="shared" si="2"/>
        <v>0</v>
      </c>
      <c r="F27" s="18">
        <f t="shared" si="5"/>
        <v>2.0000000000000018E-2</v>
      </c>
      <c r="G27" s="18">
        <f t="shared" si="6"/>
        <v>0.44</v>
      </c>
      <c r="H27" s="29">
        <f t="shared" si="3"/>
        <v>1.4379199999999999</v>
      </c>
      <c r="J27" s="95"/>
      <c r="K27" s="96"/>
      <c r="L27" s="96"/>
      <c r="M27" s="96"/>
      <c r="N27" s="96"/>
      <c r="O27" s="96"/>
      <c r="P27" s="96"/>
      <c r="Q27" s="97"/>
    </row>
    <row r="28" spans="1:17" ht="15.75" customHeight="1" x14ac:dyDescent="0.25">
      <c r="A28" s="43">
        <f t="shared" si="4"/>
        <v>25</v>
      </c>
      <c r="B28" s="12">
        <v>0</v>
      </c>
      <c r="C28" s="19">
        <f t="shared" si="0"/>
        <v>1.1076666666666664</v>
      </c>
      <c r="D28" s="19">
        <f t="shared" si="1"/>
        <v>2.2780666666666667</v>
      </c>
      <c r="E28" s="26">
        <f t="shared" si="2"/>
        <v>0</v>
      </c>
      <c r="F28" s="19">
        <f t="shared" si="5"/>
        <v>1.26</v>
      </c>
      <c r="G28" s="18">
        <f t="shared" si="6"/>
        <v>0.44</v>
      </c>
      <c r="H28" s="27">
        <f t="shared" si="3"/>
        <v>1.4379199999999999</v>
      </c>
      <c r="J28" s="95"/>
      <c r="K28" s="96"/>
      <c r="L28" s="96"/>
      <c r="M28" s="96"/>
      <c r="N28" s="96"/>
      <c r="O28" s="96"/>
      <c r="P28" s="96"/>
      <c r="Q28" s="97"/>
    </row>
    <row r="29" spans="1:17" ht="15.75" customHeight="1" x14ac:dyDescent="0.25">
      <c r="A29" s="44">
        <f t="shared" si="4"/>
        <v>26</v>
      </c>
      <c r="B29" s="13">
        <v>1.0900000000000001</v>
      </c>
      <c r="C29" s="18">
        <f t="shared" si="0"/>
        <v>1.1076666666666664</v>
      </c>
      <c r="D29" s="18">
        <f t="shared" si="1"/>
        <v>2.2780666666666667</v>
      </c>
      <c r="E29" s="28">
        <f t="shared" si="2"/>
        <v>0</v>
      </c>
      <c r="F29" s="18">
        <f t="shared" si="5"/>
        <v>1.0900000000000001</v>
      </c>
      <c r="G29" s="18">
        <f t="shared" si="6"/>
        <v>0.44</v>
      </c>
      <c r="H29" s="29">
        <f t="shared" si="3"/>
        <v>1.4379199999999999</v>
      </c>
      <c r="J29" s="95"/>
      <c r="K29" s="96"/>
      <c r="L29" s="96"/>
      <c r="M29" s="96"/>
      <c r="N29" s="96"/>
      <c r="O29" s="96"/>
      <c r="P29" s="96"/>
      <c r="Q29" s="97"/>
    </row>
    <row r="30" spans="1:17" ht="15.75" customHeight="1" x14ac:dyDescent="0.25">
      <c r="A30" s="43">
        <f t="shared" si="4"/>
        <v>27</v>
      </c>
      <c r="B30" s="12">
        <v>1.17</v>
      </c>
      <c r="C30" s="19">
        <f t="shared" si="0"/>
        <v>1.1076666666666664</v>
      </c>
      <c r="D30" s="19">
        <f t="shared" si="1"/>
        <v>2.2780666666666667</v>
      </c>
      <c r="E30" s="26">
        <f t="shared" si="2"/>
        <v>0</v>
      </c>
      <c r="F30" s="19">
        <f t="shared" si="5"/>
        <v>7.9999999999999849E-2</v>
      </c>
      <c r="G30" s="18">
        <f t="shared" si="6"/>
        <v>0.44</v>
      </c>
      <c r="H30" s="27">
        <f t="shared" si="3"/>
        <v>1.4379199999999999</v>
      </c>
      <c r="J30" s="95"/>
      <c r="K30" s="96"/>
      <c r="L30" s="96"/>
      <c r="M30" s="96"/>
      <c r="N30" s="96"/>
      <c r="O30" s="96"/>
      <c r="P30" s="96"/>
      <c r="Q30" s="97"/>
    </row>
    <row r="31" spans="1:17" ht="15.75" customHeight="1" x14ac:dyDescent="0.25">
      <c r="A31" s="44">
        <f t="shared" si="4"/>
        <v>28</v>
      </c>
      <c r="B31" s="13">
        <v>0.88</v>
      </c>
      <c r="C31" s="18">
        <f t="shared" si="0"/>
        <v>1.1076666666666664</v>
      </c>
      <c r="D31" s="18">
        <f t="shared" si="1"/>
        <v>2.2780666666666667</v>
      </c>
      <c r="E31" s="28">
        <f t="shared" si="2"/>
        <v>0</v>
      </c>
      <c r="F31" s="18">
        <f t="shared" si="5"/>
        <v>0.28999999999999992</v>
      </c>
      <c r="G31" s="18">
        <f t="shared" si="6"/>
        <v>0.44</v>
      </c>
      <c r="H31" s="29">
        <f t="shared" si="3"/>
        <v>1.4379199999999999</v>
      </c>
      <c r="J31" s="95"/>
      <c r="K31" s="96"/>
      <c r="L31" s="96"/>
      <c r="M31" s="96"/>
      <c r="N31" s="96"/>
      <c r="O31" s="96"/>
      <c r="P31" s="96"/>
      <c r="Q31" s="97"/>
    </row>
    <row r="32" spans="1:17" ht="15.75" customHeight="1" x14ac:dyDescent="0.25">
      <c r="A32" s="43">
        <f t="shared" si="4"/>
        <v>29</v>
      </c>
      <c r="B32" s="12">
        <v>1.1299999999999999</v>
      </c>
      <c r="C32" s="19">
        <f t="shared" si="0"/>
        <v>1.1076666666666664</v>
      </c>
      <c r="D32" s="19">
        <f t="shared" si="1"/>
        <v>2.2780666666666667</v>
      </c>
      <c r="E32" s="26">
        <f t="shared" si="2"/>
        <v>0</v>
      </c>
      <c r="F32" s="19">
        <f t="shared" si="5"/>
        <v>0.24999999999999989</v>
      </c>
      <c r="G32" s="18">
        <f t="shared" si="6"/>
        <v>0.44</v>
      </c>
      <c r="H32" s="27">
        <f t="shared" si="3"/>
        <v>1.4379199999999999</v>
      </c>
      <c r="J32" s="95"/>
      <c r="K32" s="96"/>
      <c r="L32" s="96"/>
      <c r="M32" s="96"/>
      <c r="N32" s="96"/>
      <c r="O32" s="96"/>
      <c r="P32" s="96"/>
      <c r="Q32" s="97"/>
    </row>
    <row r="33" spans="1:17" ht="15.75" customHeight="1" x14ac:dyDescent="0.25">
      <c r="A33" s="44">
        <f t="shared" si="4"/>
        <v>30</v>
      </c>
      <c r="B33" s="13">
        <v>1.81</v>
      </c>
      <c r="C33" s="18">
        <f t="shared" si="0"/>
        <v>1.1076666666666664</v>
      </c>
      <c r="D33" s="18">
        <f t="shared" si="1"/>
        <v>2.2780666666666667</v>
      </c>
      <c r="E33" s="28">
        <f t="shared" si="2"/>
        <v>0</v>
      </c>
      <c r="F33" s="18">
        <f t="shared" si="5"/>
        <v>0.68000000000000016</v>
      </c>
      <c r="G33" s="18">
        <f t="shared" si="6"/>
        <v>0.44</v>
      </c>
      <c r="H33" s="29">
        <f t="shared" si="3"/>
        <v>1.4379199999999999</v>
      </c>
      <c r="J33" s="95"/>
      <c r="K33" s="96"/>
      <c r="L33" s="96"/>
      <c r="M33" s="96"/>
      <c r="N33" s="96"/>
      <c r="O33" s="96"/>
      <c r="P33" s="96"/>
      <c r="Q33" s="97"/>
    </row>
    <row r="34" spans="1:17" ht="15.75" customHeight="1" x14ac:dyDescent="0.25">
      <c r="A34" s="43">
        <f t="shared" si="4"/>
        <v>31</v>
      </c>
      <c r="B34" s="12">
        <v>1.17</v>
      </c>
      <c r="C34" s="19">
        <f t="shared" si="0"/>
        <v>1.1076666666666664</v>
      </c>
      <c r="D34" s="19">
        <f t="shared" si="1"/>
        <v>2.2780666666666667</v>
      </c>
      <c r="E34" s="26">
        <f t="shared" si="2"/>
        <v>0</v>
      </c>
      <c r="F34" s="19">
        <f t="shared" si="5"/>
        <v>0.64000000000000012</v>
      </c>
      <c r="G34" s="18">
        <f t="shared" si="6"/>
        <v>0.44</v>
      </c>
      <c r="H34" s="27">
        <f t="shared" si="3"/>
        <v>1.4379199999999999</v>
      </c>
      <c r="J34" s="98"/>
      <c r="K34" s="99"/>
      <c r="L34" s="99"/>
      <c r="M34" s="99"/>
      <c r="N34" s="99"/>
      <c r="O34" s="99"/>
      <c r="P34" s="99"/>
      <c r="Q34" s="100"/>
    </row>
    <row r="35" spans="1:17" ht="15.75" customHeight="1" x14ac:dyDescent="0.25">
      <c r="A35" s="44">
        <f t="shared" si="4"/>
        <v>32</v>
      </c>
      <c r="B35" s="13">
        <v>1.74</v>
      </c>
      <c r="C35" s="18">
        <f t="shared" si="0"/>
        <v>1.1076666666666664</v>
      </c>
      <c r="D35" s="18">
        <f t="shared" si="1"/>
        <v>2.2780666666666667</v>
      </c>
      <c r="E35" s="28">
        <f t="shared" si="2"/>
        <v>0</v>
      </c>
      <c r="F35" s="18">
        <f t="shared" si="5"/>
        <v>0.57000000000000006</v>
      </c>
      <c r="G35" s="18">
        <f t="shared" si="6"/>
        <v>0.44</v>
      </c>
      <c r="H35" s="29">
        <f t="shared" si="3"/>
        <v>1.4379199999999999</v>
      </c>
      <c r="J35" s="101" t="s">
        <v>18</v>
      </c>
      <c r="K35" s="96"/>
      <c r="L35" s="96"/>
      <c r="M35" s="96"/>
      <c r="N35" s="96"/>
      <c r="O35" s="96"/>
      <c r="P35" s="96"/>
      <c r="Q35" s="102"/>
    </row>
    <row r="36" spans="1:17" ht="15.75" customHeight="1" x14ac:dyDescent="0.25">
      <c r="A36" s="43">
        <f t="shared" si="4"/>
        <v>33</v>
      </c>
      <c r="B36" s="12">
        <v>0.81</v>
      </c>
      <c r="C36" s="19">
        <f t="shared" si="0"/>
        <v>1.1076666666666664</v>
      </c>
      <c r="D36" s="19">
        <f t="shared" si="1"/>
        <v>2.2780666666666667</v>
      </c>
      <c r="E36" s="26">
        <f t="shared" si="2"/>
        <v>0</v>
      </c>
      <c r="F36" s="19">
        <f t="shared" si="5"/>
        <v>0.92999999999999994</v>
      </c>
      <c r="G36" s="18">
        <f t="shared" si="6"/>
        <v>0.44</v>
      </c>
      <c r="H36" s="27">
        <f t="shared" si="3"/>
        <v>1.4379199999999999</v>
      </c>
      <c r="J36" s="101"/>
      <c r="K36" s="96"/>
      <c r="L36" s="96"/>
      <c r="M36" s="96"/>
      <c r="N36" s="96"/>
      <c r="O36" s="96"/>
      <c r="P36" s="96"/>
      <c r="Q36" s="102"/>
    </row>
    <row r="37" spans="1:17" ht="15.75" customHeight="1" x14ac:dyDescent="0.25">
      <c r="A37" s="44">
        <f t="shared" si="4"/>
        <v>34</v>
      </c>
      <c r="B37" s="13">
        <v>1.28</v>
      </c>
      <c r="C37" s="18">
        <f t="shared" si="0"/>
        <v>1.1076666666666664</v>
      </c>
      <c r="D37" s="18">
        <f t="shared" si="1"/>
        <v>2.2780666666666667</v>
      </c>
      <c r="E37" s="28">
        <f t="shared" si="2"/>
        <v>0</v>
      </c>
      <c r="F37" s="18">
        <f t="shared" si="5"/>
        <v>0.47</v>
      </c>
      <c r="G37" s="18">
        <f t="shared" si="6"/>
        <v>0.44</v>
      </c>
      <c r="H37" s="29">
        <f t="shared" si="3"/>
        <v>1.4379199999999999</v>
      </c>
      <c r="J37" s="101"/>
      <c r="K37" s="96"/>
      <c r="L37" s="96"/>
      <c r="M37" s="96"/>
      <c r="N37" s="96"/>
      <c r="O37" s="96"/>
      <c r="P37" s="96"/>
      <c r="Q37" s="102"/>
    </row>
    <row r="38" spans="1:17" ht="15.75" customHeight="1" x14ac:dyDescent="0.25">
      <c r="A38" s="43">
        <f t="shared" si="4"/>
        <v>35</v>
      </c>
      <c r="B38" s="12">
        <v>0</v>
      </c>
      <c r="C38" s="19">
        <f t="shared" si="0"/>
        <v>1.1076666666666664</v>
      </c>
      <c r="D38" s="19">
        <f t="shared" si="1"/>
        <v>2.2780666666666667</v>
      </c>
      <c r="E38" s="26">
        <f t="shared" si="2"/>
        <v>0</v>
      </c>
      <c r="F38" s="19">
        <f t="shared" si="5"/>
        <v>1.28</v>
      </c>
      <c r="G38" s="18">
        <f t="shared" si="6"/>
        <v>0.44</v>
      </c>
      <c r="H38" s="27">
        <f t="shared" si="3"/>
        <v>1.4379199999999999</v>
      </c>
      <c r="J38" s="101"/>
      <c r="K38" s="96"/>
      <c r="L38" s="96"/>
      <c r="M38" s="96"/>
      <c r="N38" s="96"/>
      <c r="O38" s="96"/>
      <c r="P38" s="96"/>
      <c r="Q38" s="102"/>
    </row>
    <row r="39" spans="1:17" ht="15.75" customHeight="1" x14ac:dyDescent="0.25">
      <c r="A39" s="44">
        <f t="shared" si="4"/>
        <v>36</v>
      </c>
      <c r="B39" s="13">
        <v>1.1100000000000001</v>
      </c>
      <c r="C39" s="18">
        <f t="shared" si="0"/>
        <v>1.1076666666666664</v>
      </c>
      <c r="D39" s="18">
        <f t="shared" si="1"/>
        <v>2.2780666666666667</v>
      </c>
      <c r="E39" s="28">
        <f t="shared" si="2"/>
        <v>0</v>
      </c>
      <c r="F39" s="18">
        <f t="shared" si="5"/>
        <v>1.1100000000000001</v>
      </c>
      <c r="G39" s="18">
        <f t="shared" si="6"/>
        <v>0.44</v>
      </c>
      <c r="H39" s="29">
        <f t="shared" si="3"/>
        <v>1.4379199999999999</v>
      </c>
      <c r="J39" s="101"/>
      <c r="K39" s="96"/>
      <c r="L39" s="96"/>
      <c r="M39" s="96"/>
      <c r="N39" s="96"/>
      <c r="O39" s="96"/>
      <c r="P39" s="96"/>
      <c r="Q39" s="102"/>
    </row>
    <row r="40" spans="1:17" ht="15.75" customHeight="1" x14ac:dyDescent="0.25">
      <c r="A40" s="43">
        <f t="shared" si="4"/>
        <v>37</v>
      </c>
      <c r="B40" s="12">
        <v>1.17</v>
      </c>
      <c r="C40" s="19">
        <f t="shared" si="0"/>
        <v>1.1076666666666664</v>
      </c>
      <c r="D40" s="19">
        <f t="shared" si="1"/>
        <v>2.2780666666666667</v>
      </c>
      <c r="E40" s="26">
        <f t="shared" si="2"/>
        <v>0</v>
      </c>
      <c r="F40" s="19">
        <f t="shared" si="5"/>
        <v>5.9999999999999831E-2</v>
      </c>
      <c r="G40" s="18">
        <f t="shared" si="6"/>
        <v>0.44</v>
      </c>
      <c r="H40" s="27">
        <f t="shared" si="3"/>
        <v>1.4379199999999999</v>
      </c>
      <c r="J40" s="101"/>
      <c r="K40" s="96"/>
      <c r="L40" s="96"/>
      <c r="M40" s="96"/>
      <c r="N40" s="96"/>
      <c r="O40" s="96"/>
      <c r="P40" s="96"/>
      <c r="Q40" s="102"/>
    </row>
    <row r="41" spans="1:17" ht="15.75" customHeight="1" x14ac:dyDescent="0.25">
      <c r="A41" s="44">
        <f t="shared" si="4"/>
        <v>38</v>
      </c>
      <c r="B41" s="13">
        <v>1.22</v>
      </c>
      <c r="C41" s="18">
        <f t="shared" si="0"/>
        <v>1.1076666666666664</v>
      </c>
      <c r="D41" s="18">
        <f t="shared" si="1"/>
        <v>2.2780666666666667</v>
      </c>
      <c r="E41" s="28">
        <f t="shared" si="2"/>
        <v>0</v>
      </c>
      <c r="F41" s="18">
        <f t="shared" si="5"/>
        <v>5.0000000000000044E-2</v>
      </c>
      <c r="G41" s="18">
        <f t="shared" si="6"/>
        <v>0.44</v>
      </c>
      <c r="H41" s="29">
        <f t="shared" si="3"/>
        <v>1.4379199999999999</v>
      </c>
      <c r="J41" s="101"/>
      <c r="K41" s="96"/>
      <c r="L41" s="96"/>
      <c r="M41" s="96"/>
      <c r="N41" s="96"/>
      <c r="O41" s="96"/>
      <c r="P41" s="96"/>
      <c r="Q41" s="102"/>
    </row>
    <row r="42" spans="1:17" ht="15.75" customHeight="1" x14ac:dyDescent="0.25">
      <c r="A42" s="43">
        <f t="shared" si="4"/>
        <v>39</v>
      </c>
      <c r="B42" s="12">
        <v>1.26</v>
      </c>
      <c r="C42" s="19">
        <f t="shared" si="0"/>
        <v>1.1076666666666664</v>
      </c>
      <c r="D42" s="19">
        <f t="shared" si="1"/>
        <v>2.2780666666666667</v>
      </c>
      <c r="E42" s="26">
        <f t="shared" si="2"/>
        <v>0</v>
      </c>
      <c r="F42" s="19">
        <f t="shared" si="5"/>
        <v>4.0000000000000036E-2</v>
      </c>
      <c r="G42" s="18">
        <f t="shared" si="6"/>
        <v>0.44</v>
      </c>
      <c r="H42" s="27">
        <f t="shared" si="3"/>
        <v>1.4379199999999999</v>
      </c>
      <c r="J42" s="101"/>
      <c r="K42" s="96"/>
      <c r="L42" s="96"/>
      <c r="M42" s="96"/>
      <c r="N42" s="96"/>
      <c r="O42" s="96"/>
      <c r="P42" s="96"/>
      <c r="Q42" s="102"/>
    </row>
    <row r="43" spans="1:17" ht="15.75" customHeight="1" x14ac:dyDescent="0.25">
      <c r="A43" s="44">
        <f t="shared" si="4"/>
        <v>40</v>
      </c>
      <c r="B43" s="13">
        <v>1.01</v>
      </c>
      <c r="C43" s="18">
        <f t="shared" si="0"/>
        <v>1.1076666666666664</v>
      </c>
      <c r="D43" s="18">
        <f t="shared" si="1"/>
        <v>2.2780666666666667</v>
      </c>
      <c r="E43" s="28">
        <f t="shared" si="2"/>
        <v>0</v>
      </c>
      <c r="F43" s="18">
        <f t="shared" si="5"/>
        <v>0.25</v>
      </c>
      <c r="G43" s="18">
        <f t="shared" si="6"/>
        <v>0.44</v>
      </c>
      <c r="H43" s="29">
        <f t="shared" si="3"/>
        <v>1.4379199999999999</v>
      </c>
      <c r="J43" s="101"/>
      <c r="K43" s="96"/>
      <c r="L43" s="96"/>
      <c r="M43" s="96"/>
      <c r="N43" s="96"/>
      <c r="O43" s="96"/>
      <c r="P43" s="96"/>
      <c r="Q43" s="102"/>
    </row>
    <row r="44" spans="1:17" ht="15.75" customHeight="1" x14ac:dyDescent="0.25">
      <c r="A44" s="43">
        <f t="shared" si="4"/>
        <v>41</v>
      </c>
      <c r="B44" s="12">
        <v>2.62</v>
      </c>
      <c r="C44" s="19">
        <f t="shared" si="0"/>
        <v>1.1076666666666664</v>
      </c>
      <c r="D44" s="19">
        <f t="shared" si="1"/>
        <v>2.2780666666666667</v>
      </c>
      <c r="E44" s="26">
        <f t="shared" si="2"/>
        <v>0</v>
      </c>
      <c r="F44" s="19">
        <f t="shared" si="5"/>
        <v>1.61</v>
      </c>
      <c r="G44" s="18">
        <f t="shared" si="6"/>
        <v>0.44</v>
      </c>
      <c r="H44" s="27">
        <f t="shared" si="3"/>
        <v>1.4379199999999999</v>
      </c>
      <c r="J44" s="103"/>
      <c r="K44" s="104"/>
      <c r="L44" s="104"/>
      <c r="M44" s="104"/>
      <c r="N44" s="104"/>
      <c r="O44" s="104"/>
      <c r="P44" s="104"/>
      <c r="Q44" s="105"/>
    </row>
    <row r="45" spans="1:17" ht="15.75" customHeight="1" x14ac:dyDescent="0.25">
      <c r="A45" s="44">
        <f t="shared" si="4"/>
        <v>42</v>
      </c>
      <c r="B45" s="13">
        <v>1.44</v>
      </c>
      <c r="C45" s="18">
        <f t="shared" si="0"/>
        <v>1.1076666666666664</v>
      </c>
      <c r="D45" s="18">
        <f t="shared" si="1"/>
        <v>2.2780666666666667</v>
      </c>
      <c r="E45" s="28">
        <f t="shared" si="2"/>
        <v>0</v>
      </c>
      <c r="F45" s="18">
        <f t="shared" si="5"/>
        <v>1.1800000000000002</v>
      </c>
      <c r="G45" s="18">
        <f t="shared" si="6"/>
        <v>0.44</v>
      </c>
      <c r="H45" s="29">
        <f t="shared" si="3"/>
        <v>1.4379199999999999</v>
      </c>
    </row>
    <row r="46" spans="1:17" ht="15.75" customHeight="1" x14ac:dyDescent="0.25">
      <c r="A46" s="43">
        <f t="shared" si="4"/>
        <v>43</v>
      </c>
      <c r="B46" s="12">
        <v>1.24</v>
      </c>
      <c r="C46" s="19">
        <f t="shared" si="0"/>
        <v>1.1076666666666664</v>
      </c>
      <c r="D46" s="19">
        <f t="shared" si="1"/>
        <v>2.2780666666666667</v>
      </c>
      <c r="E46" s="26">
        <f t="shared" si="2"/>
        <v>0</v>
      </c>
      <c r="F46" s="19">
        <f t="shared" si="5"/>
        <v>0.19999999999999996</v>
      </c>
      <c r="G46" s="18">
        <f t="shared" si="6"/>
        <v>0.44</v>
      </c>
      <c r="H46" s="27">
        <f t="shared" si="3"/>
        <v>1.4379199999999999</v>
      </c>
    </row>
    <row r="47" spans="1:17" ht="15.75" customHeight="1" x14ac:dyDescent="0.25">
      <c r="A47" s="44">
        <f t="shared" si="4"/>
        <v>44</v>
      </c>
      <c r="B47" s="13">
        <v>1.05</v>
      </c>
      <c r="C47" s="18">
        <f t="shared" si="0"/>
        <v>1.1076666666666664</v>
      </c>
      <c r="D47" s="18">
        <f t="shared" si="1"/>
        <v>2.2780666666666667</v>
      </c>
      <c r="E47" s="28">
        <f t="shared" si="2"/>
        <v>0</v>
      </c>
      <c r="F47" s="18">
        <f t="shared" si="5"/>
        <v>0.18999999999999995</v>
      </c>
      <c r="G47" s="18">
        <f t="shared" si="6"/>
        <v>0.44</v>
      </c>
      <c r="H47" s="29">
        <f t="shared" si="3"/>
        <v>1.4379199999999999</v>
      </c>
    </row>
    <row r="48" spans="1:17" ht="15.75" customHeight="1" x14ac:dyDescent="0.25">
      <c r="A48" s="43">
        <f t="shared" si="4"/>
        <v>45</v>
      </c>
      <c r="B48" s="12">
        <v>1.02</v>
      </c>
      <c r="C48" s="19">
        <f t="shared" si="0"/>
        <v>1.1076666666666664</v>
      </c>
      <c r="D48" s="19">
        <f t="shared" si="1"/>
        <v>2.2780666666666667</v>
      </c>
      <c r="E48" s="26">
        <f t="shared" si="2"/>
        <v>0</v>
      </c>
      <c r="F48" s="19">
        <f t="shared" si="5"/>
        <v>3.0000000000000027E-2</v>
      </c>
      <c r="G48" s="18">
        <f t="shared" si="6"/>
        <v>0.44</v>
      </c>
      <c r="H48" s="27">
        <f t="shared" si="3"/>
        <v>1.4379199999999999</v>
      </c>
    </row>
    <row r="49" spans="1:8" ht="15.75" customHeight="1" x14ac:dyDescent="0.25">
      <c r="A49" s="44">
        <f t="shared" si="4"/>
        <v>46</v>
      </c>
      <c r="B49" s="13">
        <v>0.99</v>
      </c>
      <c r="C49" s="18">
        <f t="shared" si="0"/>
        <v>1.1076666666666664</v>
      </c>
      <c r="D49" s="18">
        <f t="shared" si="1"/>
        <v>2.2780666666666667</v>
      </c>
      <c r="E49" s="28">
        <f t="shared" si="2"/>
        <v>0</v>
      </c>
      <c r="F49" s="18">
        <f t="shared" si="5"/>
        <v>3.0000000000000027E-2</v>
      </c>
      <c r="G49" s="18">
        <f t="shared" si="6"/>
        <v>0.44</v>
      </c>
      <c r="H49" s="29">
        <f t="shared" si="3"/>
        <v>1.4379199999999999</v>
      </c>
    </row>
    <row r="50" spans="1:8" ht="15.75" customHeight="1" x14ac:dyDescent="0.25">
      <c r="A50" s="43">
        <f t="shared" si="4"/>
        <v>47</v>
      </c>
      <c r="B50" s="12">
        <v>0.9</v>
      </c>
      <c r="C50" s="19">
        <f t="shared" si="0"/>
        <v>1.1076666666666664</v>
      </c>
      <c r="D50" s="19">
        <f t="shared" si="1"/>
        <v>2.2780666666666667</v>
      </c>
      <c r="E50" s="26">
        <f t="shared" si="2"/>
        <v>0</v>
      </c>
      <c r="F50" s="19">
        <f t="shared" si="5"/>
        <v>8.9999999999999969E-2</v>
      </c>
      <c r="G50" s="18">
        <f t="shared" si="6"/>
        <v>0.44</v>
      </c>
      <c r="H50" s="27">
        <f t="shared" si="3"/>
        <v>1.4379199999999999</v>
      </c>
    </row>
    <row r="51" spans="1:8" ht="15.75" customHeight="1" x14ac:dyDescent="0.25">
      <c r="A51" s="44">
        <f t="shared" si="4"/>
        <v>48</v>
      </c>
      <c r="B51" s="13">
        <v>0</v>
      </c>
      <c r="C51" s="18">
        <f t="shared" si="0"/>
        <v>1.1076666666666664</v>
      </c>
      <c r="D51" s="18">
        <f t="shared" si="1"/>
        <v>2.2780666666666667</v>
      </c>
      <c r="E51" s="28">
        <f t="shared" si="2"/>
        <v>0</v>
      </c>
      <c r="F51" s="18">
        <f t="shared" si="5"/>
        <v>0.9</v>
      </c>
      <c r="G51" s="18">
        <f t="shared" si="6"/>
        <v>0.44</v>
      </c>
      <c r="H51" s="29">
        <f t="shared" si="3"/>
        <v>1.4379199999999999</v>
      </c>
    </row>
    <row r="52" spans="1:8" ht="15.75" customHeight="1" x14ac:dyDescent="0.25">
      <c r="A52" s="43">
        <f t="shared" si="4"/>
        <v>49</v>
      </c>
      <c r="B52" s="12">
        <v>1.1200000000000001</v>
      </c>
      <c r="C52" s="19">
        <f t="shared" si="0"/>
        <v>1.1076666666666664</v>
      </c>
      <c r="D52" s="19">
        <f t="shared" si="1"/>
        <v>2.2780666666666667</v>
      </c>
      <c r="E52" s="26">
        <f t="shared" si="2"/>
        <v>0</v>
      </c>
      <c r="F52" s="19">
        <f t="shared" si="5"/>
        <v>1.1200000000000001</v>
      </c>
      <c r="G52" s="18">
        <f t="shared" si="6"/>
        <v>0.44</v>
      </c>
      <c r="H52" s="27">
        <f t="shared" si="3"/>
        <v>1.4379199999999999</v>
      </c>
    </row>
    <row r="53" spans="1:8" ht="15.75" customHeight="1" x14ac:dyDescent="0.25">
      <c r="A53" s="44">
        <f t="shared" si="4"/>
        <v>50</v>
      </c>
      <c r="B53" s="13">
        <v>1.23</v>
      </c>
      <c r="C53" s="18">
        <f t="shared" si="0"/>
        <v>1.1076666666666664</v>
      </c>
      <c r="D53" s="18">
        <f t="shared" si="1"/>
        <v>2.2780666666666667</v>
      </c>
      <c r="E53" s="28">
        <f t="shared" si="2"/>
        <v>0</v>
      </c>
      <c r="F53" s="18">
        <f t="shared" si="5"/>
        <v>0.10999999999999988</v>
      </c>
      <c r="G53" s="18">
        <f t="shared" si="6"/>
        <v>0.44</v>
      </c>
      <c r="H53" s="29">
        <f t="shared" si="3"/>
        <v>1.4379199999999999</v>
      </c>
    </row>
    <row r="54" spans="1:8" ht="15.75" customHeight="1" x14ac:dyDescent="0.25">
      <c r="A54" s="43">
        <f t="shared" si="4"/>
        <v>51</v>
      </c>
      <c r="B54" s="12">
        <v>1.18</v>
      </c>
      <c r="C54" s="19">
        <f t="shared" si="0"/>
        <v>1.1076666666666664</v>
      </c>
      <c r="D54" s="19">
        <f t="shared" si="1"/>
        <v>2.2780666666666667</v>
      </c>
      <c r="E54" s="26">
        <f t="shared" si="2"/>
        <v>0</v>
      </c>
      <c r="F54" s="19">
        <f t="shared" si="5"/>
        <v>5.0000000000000044E-2</v>
      </c>
      <c r="G54" s="18">
        <f t="shared" si="6"/>
        <v>0.44</v>
      </c>
      <c r="H54" s="27">
        <f t="shared" si="3"/>
        <v>1.4379199999999999</v>
      </c>
    </row>
    <row r="55" spans="1:8" ht="15.75" customHeight="1" x14ac:dyDescent="0.25">
      <c r="A55" s="44">
        <f t="shared" si="4"/>
        <v>52</v>
      </c>
      <c r="B55" s="13">
        <v>1.42</v>
      </c>
      <c r="C55" s="18">
        <f t="shared" si="0"/>
        <v>1.1076666666666664</v>
      </c>
      <c r="D55" s="18">
        <f t="shared" si="1"/>
        <v>2.2780666666666667</v>
      </c>
      <c r="E55" s="28">
        <f t="shared" si="2"/>
        <v>0</v>
      </c>
      <c r="F55" s="18">
        <f t="shared" si="5"/>
        <v>0.24</v>
      </c>
      <c r="G55" s="18">
        <f t="shared" si="6"/>
        <v>0.44</v>
      </c>
      <c r="H55" s="29">
        <f t="shared" si="3"/>
        <v>1.4379199999999999</v>
      </c>
    </row>
    <row r="56" spans="1:8" ht="15.75" customHeight="1" x14ac:dyDescent="0.25">
      <c r="A56" s="43">
        <f t="shared" si="4"/>
        <v>53</v>
      </c>
      <c r="B56" s="12">
        <v>1.38</v>
      </c>
      <c r="C56" s="19">
        <f t="shared" si="0"/>
        <v>1.1076666666666664</v>
      </c>
      <c r="D56" s="19">
        <f t="shared" si="1"/>
        <v>2.2780666666666667</v>
      </c>
      <c r="E56" s="26">
        <f t="shared" si="2"/>
        <v>0</v>
      </c>
      <c r="F56" s="19">
        <f t="shared" si="5"/>
        <v>4.0000000000000036E-2</v>
      </c>
      <c r="G56" s="18">
        <f t="shared" si="6"/>
        <v>0.44</v>
      </c>
      <c r="H56" s="27">
        <f t="shared" si="3"/>
        <v>1.4379199999999999</v>
      </c>
    </row>
    <row r="57" spans="1:8" ht="15.75" customHeight="1" x14ac:dyDescent="0.25">
      <c r="A57" s="44">
        <f t="shared" si="4"/>
        <v>54</v>
      </c>
      <c r="B57" s="13">
        <v>0.77</v>
      </c>
      <c r="C57" s="18">
        <f t="shared" si="0"/>
        <v>1.1076666666666664</v>
      </c>
      <c r="D57" s="18">
        <f t="shared" si="1"/>
        <v>2.2780666666666667</v>
      </c>
      <c r="E57" s="28">
        <f t="shared" si="2"/>
        <v>0</v>
      </c>
      <c r="F57" s="18">
        <f t="shared" si="5"/>
        <v>0.60999999999999988</v>
      </c>
      <c r="G57" s="18">
        <f t="shared" si="6"/>
        <v>0.44</v>
      </c>
      <c r="H57" s="29">
        <f t="shared" si="3"/>
        <v>1.4379199999999999</v>
      </c>
    </row>
    <row r="58" spans="1:8" ht="15.75" customHeight="1" x14ac:dyDescent="0.25">
      <c r="A58" s="43">
        <f t="shared" si="4"/>
        <v>55</v>
      </c>
      <c r="B58" s="12">
        <v>0.97</v>
      </c>
      <c r="C58" s="19">
        <f t="shared" si="0"/>
        <v>1.1076666666666664</v>
      </c>
      <c r="D58" s="19">
        <f t="shared" si="1"/>
        <v>2.2780666666666667</v>
      </c>
      <c r="E58" s="26">
        <f t="shared" si="2"/>
        <v>0</v>
      </c>
      <c r="F58" s="19">
        <f t="shared" si="5"/>
        <v>0.19999999999999996</v>
      </c>
      <c r="G58" s="18">
        <f t="shared" si="6"/>
        <v>0.44</v>
      </c>
      <c r="H58" s="27">
        <f t="shared" si="3"/>
        <v>1.4379199999999999</v>
      </c>
    </row>
    <row r="59" spans="1:8" ht="15.75" customHeight="1" x14ac:dyDescent="0.25">
      <c r="A59" s="44">
        <f t="shared" si="4"/>
        <v>56</v>
      </c>
      <c r="B59" s="13">
        <v>0.86</v>
      </c>
      <c r="C59" s="18">
        <f t="shared" si="0"/>
        <v>1.1076666666666664</v>
      </c>
      <c r="D59" s="18">
        <f t="shared" si="1"/>
        <v>2.2780666666666667</v>
      </c>
      <c r="E59" s="28">
        <f t="shared" si="2"/>
        <v>0</v>
      </c>
      <c r="F59" s="18">
        <f t="shared" si="5"/>
        <v>0.10999999999999999</v>
      </c>
      <c r="G59" s="18">
        <f t="shared" si="6"/>
        <v>0.44</v>
      </c>
      <c r="H59" s="29">
        <f t="shared" si="3"/>
        <v>1.4379199999999999</v>
      </c>
    </row>
    <row r="60" spans="1:8" ht="15.75" customHeight="1" x14ac:dyDescent="0.25">
      <c r="A60" s="43">
        <f t="shared" si="4"/>
        <v>57</v>
      </c>
      <c r="B60" s="12">
        <v>1.56</v>
      </c>
      <c r="C60" s="19">
        <f t="shared" si="0"/>
        <v>1.1076666666666664</v>
      </c>
      <c r="D60" s="19">
        <f t="shared" si="1"/>
        <v>2.2780666666666667</v>
      </c>
      <c r="E60" s="26">
        <f t="shared" si="2"/>
        <v>0</v>
      </c>
      <c r="F60" s="19">
        <f t="shared" si="5"/>
        <v>0.70000000000000007</v>
      </c>
      <c r="G60" s="18">
        <f t="shared" si="6"/>
        <v>0.44</v>
      </c>
      <c r="H60" s="27">
        <f t="shared" si="3"/>
        <v>1.4379199999999999</v>
      </c>
    </row>
    <row r="61" spans="1:8" ht="15.75" customHeight="1" x14ac:dyDescent="0.25">
      <c r="A61" s="44">
        <f t="shared" si="4"/>
        <v>58</v>
      </c>
      <c r="B61" s="13">
        <v>1.73</v>
      </c>
      <c r="C61" s="18">
        <f t="shared" si="0"/>
        <v>1.1076666666666664</v>
      </c>
      <c r="D61" s="18">
        <f t="shared" si="1"/>
        <v>2.2780666666666667</v>
      </c>
      <c r="E61" s="28">
        <f t="shared" si="2"/>
        <v>0</v>
      </c>
      <c r="F61" s="18">
        <f t="shared" si="5"/>
        <v>0.16999999999999993</v>
      </c>
      <c r="G61" s="18">
        <f t="shared" si="6"/>
        <v>0.44</v>
      </c>
      <c r="H61" s="29">
        <f t="shared" si="3"/>
        <v>1.4379199999999999</v>
      </c>
    </row>
    <row r="62" spans="1:8" ht="15.75" customHeight="1" x14ac:dyDescent="0.25">
      <c r="A62" s="43">
        <f t="shared" si="4"/>
        <v>59</v>
      </c>
      <c r="B62" s="12">
        <v>1.64</v>
      </c>
      <c r="C62" s="19">
        <f t="shared" si="0"/>
        <v>1.1076666666666664</v>
      </c>
      <c r="D62" s="19">
        <f t="shared" si="1"/>
        <v>2.2780666666666667</v>
      </c>
      <c r="E62" s="26">
        <f t="shared" si="2"/>
        <v>0</v>
      </c>
      <c r="F62" s="19">
        <f t="shared" si="5"/>
        <v>9.000000000000008E-2</v>
      </c>
      <c r="G62" s="18">
        <f t="shared" si="6"/>
        <v>0.44</v>
      </c>
      <c r="H62" s="27">
        <f t="shared" si="3"/>
        <v>1.4379199999999999</v>
      </c>
    </row>
    <row r="63" spans="1:8" ht="15.75" customHeight="1" x14ac:dyDescent="0.25">
      <c r="A63" s="45">
        <v>60</v>
      </c>
      <c r="B63" s="22">
        <v>1.49</v>
      </c>
      <c r="C63" s="23">
        <f t="shared" si="0"/>
        <v>1.1076666666666664</v>
      </c>
      <c r="D63" s="23">
        <f t="shared" si="1"/>
        <v>2.2780666666666667</v>
      </c>
      <c r="E63" s="30">
        <f t="shared" si="2"/>
        <v>0</v>
      </c>
      <c r="F63" s="23">
        <f t="shared" si="5"/>
        <v>0.14999999999999991</v>
      </c>
      <c r="G63" s="23">
        <f t="shared" si="6"/>
        <v>0.44</v>
      </c>
      <c r="H63" s="31">
        <f t="shared" si="3"/>
        <v>1.4379199999999999</v>
      </c>
    </row>
    <row r="64" spans="1:8" ht="15.75" customHeight="1" x14ac:dyDescent="0.25"/>
  </sheetData>
  <mergeCells count="6">
    <mergeCell ref="J35:Q44"/>
    <mergeCell ref="A1:D1"/>
    <mergeCell ref="G1:H1"/>
    <mergeCell ref="J1:Q1"/>
    <mergeCell ref="J2:Q24"/>
    <mergeCell ref="J25:Q34"/>
  </mergeCells>
  <conditionalFormatting sqref="D4:E63 H4:H63">
    <cfRule type="containsBlanks" dxfId="4" priority="1">
      <formula>LEN(TRIM(D4))=0</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64"/>
  <sheetViews>
    <sheetView showGridLines="0" workbookViewId="0">
      <selection activeCell="J1" sqref="J1:Q1"/>
    </sheetView>
  </sheetViews>
  <sheetFormatPr defaultColWidth="12.6640625" defaultRowHeight="15" customHeight="1" x14ac:dyDescent="0.25"/>
  <cols>
    <col min="1" max="1" width="15.109375" bestFit="1" customWidth="1"/>
    <col min="2" max="5" width="12.6640625" customWidth="1"/>
    <col min="6" max="6" width="10.109375" customWidth="1"/>
    <col min="7" max="7" width="11.6640625" bestFit="1" customWidth="1"/>
    <col min="8" max="8" width="14.6640625" customWidth="1"/>
    <col min="9" max="9" width="3.21875" customWidth="1"/>
    <col min="15" max="15" width="12.6640625" customWidth="1"/>
    <col min="18" max="18" width="3.21875" customWidth="1"/>
  </cols>
  <sheetData>
    <row r="1" spans="1:18" ht="24.6" x14ac:dyDescent="0.55000000000000004">
      <c r="A1" s="69" t="s">
        <v>19</v>
      </c>
      <c r="B1" s="70"/>
      <c r="C1" s="70"/>
      <c r="D1" s="70"/>
      <c r="E1" s="2"/>
      <c r="F1" s="1"/>
      <c r="G1" s="84"/>
      <c r="H1" s="85"/>
      <c r="J1" s="73" t="s">
        <v>32</v>
      </c>
      <c r="K1" s="74"/>
      <c r="L1" s="74"/>
      <c r="M1" s="74"/>
      <c r="N1" s="74"/>
      <c r="O1" s="74"/>
      <c r="P1" s="74"/>
      <c r="Q1" s="74"/>
    </row>
    <row r="2" spans="1:18" ht="15.75" customHeight="1" x14ac:dyDescent="0.4">
      <c r="A2" s="3"/>
      <c r="B2" s="3"/>
      <c r="C2" s="3"/>
      <c r="D2" s="3"/>
      <c r="E2" s="3"/>
      <c r="F2" s="3"/>
      <c r="G2" s="3"/>
      <c r="H2" s="3"/>
      <c r="J2" s="75" t="s">
        <v>31</v>
      </c>
      <c r="K2" s="76"/>
      <c r="L2" s="76"/>
      <c r="M2" s="76"/>
      <c r="N2" s="76"/>
      <c r="O2" s="76"/>
      <c r="P2" s="76"/>
      <c r="Q2" s="77"/>
    </row>
    <row r="3" spans="1:18" ht="15.75" customHeight="1" x14ac:dyDescent="0.25">
      <c r="A3" s="38" t="s">
        <v>4</v>
      </c>
      <c r="B3" s="39" t="s">
        <v>5</v>
      </c>
      <c r="C3" s="39" t="s">
        <v>6</v>
      </c>
      <c r="D3" s="39" t="s">
        <v>7</v>
      </c>
      <c r="E3" s="39" t="s">
        <v>8</v>
      </c>
      <c r="F3" s="39" t="s">
        <v>9</v>
      </c>
      <c r="G3" s="39" t="s">
        <v>23</v>
      </c>
      <c r="H3" s="40" t="s">
        <v>11</v>
      </c>
      <c r="J3" s="78"/>
      <c r="K3" s="79"/>
      <c r="L3" s="79"/>
      <c r="M3" s="79"/>
      <c r="N3" s="79"/>
      <c r="O3" s="79"/>
      <c r="P3" s="79"/>
      <c r="Q3" s="80"/>
    </row>
    <row r="4" spans="1:18" ht="15.75" customHeight="1" x14ac:dyDescent="0.25">
      <c r="A4" s="43">
        <v>1</v>
      </c>
      <c r="B4" s="32">
        <v>0</v>
      </c>
      <c r="C4" s="19">
        <f>ROUND(AVERAGE($B$4:$B$63),2)</f>
        <v>1.1100000000000001</v>
      </c>
      <c r="D4" s="19">
        <f t="shared" ref="D4:D63" si="0">C4+(2.66*G4)</f>
        <v>2.2804000000000002</v>
      </c>
      <c r="E4" s="26">
        <f t="shared" ref="E4:E63" si="1">MAX(0,C4-(2.66*G4))</f>
        <v>0</v>
      </c>
      <c r="F4" s="19"/>
      <c r="G4" s="19">
        <f>ROUND(AVERAGE($F$5:$F$63),2)</f>
        <v>0.44</v>
      </c>
      <c r="H4" s="27">
        <f>ROUND(3.268*G4,2)</f>
        <v>1.44</v>
      </c>
      <c r="J4" s="78"/>
      <c r="K4" s="79"/>
      <c r="L4" s="79"/>
      <c r="M4" s="79"/>
      <c r="N4" s="79"/>
      <c r="O4" s="79"/>
      <c r="P4" s="79"/>
      <c r="Q4" s="80"/>
    </row>
    <row r="5" spans="1:18" ht="15.75" customHeight="1" x14ac:dyDescent="0.25">
      <c r="A5" s="44">
        <f t="shared" ref="A5:A62" si="2">A4+1</f>
        <v>2</v>
      </c>
      <c r="B5" s="13">
        <v>0.82</v>
      </c>
      <c r="C5" s="18">
        <f t="shared" ref="C5:C63" si="3">C4</f>
        <v>1.1100000000000001</v>
      </c>
      <c r="D5" s="18">
        <f t="shared" si="0"/>
        <v>2.2804000000000002</v>
      </c>
      <c r="E5" s="28">
        <f t="shared" si="1"/>
        <v>0</v>
      </c>
      <c r="F5" s="18">
        <f t="shared" ref="F5:F63" si="4">ABS(B4-B5)</f>
        <v>0.82</v>
      </c>
      <c r="G5" s="18">
        <f t="shared" ref="G5:G63" si="5">G4</f>
        <v>0.44</v>
      </c>
      <c r="H5" s="29">
        <f t="shared" ref="H5:H63" si="6">3.268*G5</f>
        <v>1.4379199999999999</v>
      </c>
      <c r="J5" s="78"/>
      <c r="K5" s="79"/>
      <c r="L5" s="79"/>
      <c r="M5" s="79"/>
      <c r="N5" s="79"/>
      <c r="O5" s="79"/>
      <c r="P5" s="79"/>
      <c r="Q5" s="80"/>
    </row>
    <row r="6" spans="1:18" ht="15.75" customHeight="1" x14ac:dyDescent="0.25">
      <c r="A6" s="43">
        <f t="shared" si="2"/>
        <v>3</v>
      </c>
      <c r="B6" s="12">
        <v>0.98</v>
      </c>
      <c r="C6" s="18">
        <f t="shared" si="3"/>
        <v>1.1100000000000001</v>
      </c>
      <c r="D6" s="19">
        <f t="shared" si="0"/>
        <v>2.2804000000000002</v>
      </c>
      <c r="E6" s="26">
        <f t="shared" si="1"/>
        <v>0</v>
      </c>
      <c r="F6" s="19">
        <f t="shared" si="4"/>
        <v>0.16000000000000003</v>
      </c>
      <c r="G6" s="18">
        <f t="shared" si="5"/>
        <v>0.44</v>
      </c>
      <c r="H6" s="27">
        <f t="shared" si="6"/>
        <v>1.4379199999999999</v>
      </c>
      <c r="J6" s="78"/>
      <c r="K6" s="79"/>
      <c r="L6" s="79"/>
      <c r="M6" s="79"/>
      <c r="N6" s="79"/>
      <c r="O6" s="79"/>
      <c r="P6" s="79"/>
      <c r="Q6" s="80"/>
    </row>
    <row r="7" spans="1:18" ht="15.75" customHeight="1" x14ac:dyDescent="0.25">
      <c r="A7" s="44">
        <f t="shared" si="2"/>
        <v>4</v>
      </c>
      <c r="B7" s="13">
        <v>0.89</v>
      </c>
      <c r="C7" s="18">
        <f t="shared" si="3"/>
        <v>1.1100000000000001</v>
      </c>
      <c r="D7" s="18">
        <f t="shared" si="0"/>
        <v>2.2804000000000002</v>
      </c>
      <c r="E7" s="28">
        <f t="shared" si="1"/>
        <v>0</v>
      </c>
      <c r="F7" s="18">
        <f t="shared" si="4"/>
        <v>8.9999999999999969E-2</v>
      </c>
      <c r="G7" s="18">
        <f t="shared" si="5"/>
        <v>0.44</v>
      </c>
      <c r="H7" s="29">
        <f t="shared" si="6"/>
        <v>1.4379199999999999</v>
      </c>
      <c r="J7" s="78"/>
      <c r="K7" s="79"/>
      <c r="L7" s="79"/>
      <c r="M7" s="79"/>
      <c r="N7" s="79"/>
      <c r="O7" s="79"/>
      <c r="P7" s="79"/>
      <c r="Q7" s="80"/>
    </row>
    <row r="8" spans="1:18" ht="15.75" customHeight="1" x14ac:dyDescent="0.25">
      <c r="A8" s="43">
        <f t="shared" si="2"/>
        <v>5</v>
      </c>
      <c r="B8" s="12">
        <v>1.76</v>
      </c>
      <c r="C8" s="18">
        <f t="shared" si="3"/>
        <v>1.1100000000000001</v>
      </c>
      <c r="D8" s="19">
        <f t="shared" si="0"/>
        <v>2.2804000000000002</v>
      </c>
      <c r="E8" s="26">
        <f t="shared" si="1"/>
        <v>0</v>
      </c>
      <c r="F8" s="19">
        <f t="shared" si="4"/>
        <v>0.87</v>
      </c>
      <c r="G8" s="18">
        <f t="shared" si="5"/>
        <v>0.44</v>
      </c>
      <c r="H8" s="27">
        <f t="shared" si="6"/>
        <v>1.4379199999999999</v>
      </c>
      <c r="J8" s="78"/>
      <c r="K8" s="79"/>
      <c r="L8" s="79"/>
      <c r="M8" s="79"/>
      <c r="N8" s="79"/>
      <c r="O8" s="79"/>
      <c r="P8" s="79"/>
      <c r="Q8" s="80"/>
    </row>
    <row r="9" spans="1:18" ht="15.75" customHeight="1" x14ac:dyDescent="0.25">
      <c r="A9" s="44">
        <f t="shared" si="2"/>
        <v>6</v>
      </c>
      <c r="B9" s="13">
        <v>1.1200000000000001</v>
      </c>
      <c r="C9" s="18">
        <f t="shared" si="3"/>
        <v>1.1100000000000001</v>
      </c>
      <c r="D9" s="18">
        <f t="shared" si="0"/>
        <v>2.2804000000000002</v>
      </c>
      <c r="E9" s="28">
        <f t="shared" si="1"/>
        <v>0</v>
      </c>
      <c r="F9" s="18">
        <f t="shared" si="4"/>
        <v>0.6399999999999999</v>
      </c>
      <c r="G9" s="18">
        <f t="shared" si="5"/>
        <v>0.44</v>
      </c>
      <c r="H9" s="29">
        <f t="shared" si="6"/>
        <v>1.4379199999999999</v>
      </c>
      <c r="J9" s="78"/>
      <c r="K9" s="79"/>
      <c r="L9" s="79"/>
      <c r="M9" s="79"/>
      <c r="N9" s="79"/>
      <c r="O9" s="79"/>
      <c r="P9" s="79"/>
      <c r="Q9" s="80"/>
    </row>
    <row r="10" spans="1:18" ht="15.75" customHeight="1" x14ac:dyDescent="0.25">
      <c r="A10" s="43">
        <f t="shared" si="2"/>
        <v>7</v>
      </c>
      <c r="B10" s="12">
        <v>0.98</v>
      </c>
      <c r="C10" s="18">
        <f t="shared" si="3"/>
        <v>1.1100000000000001</v>
      </c>
      <c r="D10" s="19">
        <f t="shared" si="0"/>
        <v>2.2804000000000002</v>
      </c>
      <c r="E10" s="26">
        <f t="shared" si="1"/>
        <v>0</v>
      </c>
      <c r="F10" s="19">
        <f t="shared" si="4"/>
        <v>0.14000000000000012</v>
      </c>
      <c r="G10" s="18">
        <f t="shared" si="5"/>
        <v>0.44</v>
      </c>
      <c r="H10" s="27">
        <f t="shared" si="6"/>
        <v>1.4379199999999999</v>
      </c>
      <c r="J10" s="78"/>
      <c r="K10" s="79"/>
      <c r="L10" s="79"/>
      <c r="M10" s="79"/>
      <c r="N10" s="79"/>
      <c r="O10" s="79"/>
      <c r="P10" s="79"/>
      <c r="Q10" s="80"/>
    </row>
    <row r="11" spans="1:18" ht="15.75" customHeight="1" x14ac:dyDescent="0.25">
      <c r="A11" s="44">
        <f t="shared" si="2"/>
        <v>8</v>
      </c>
      <c r="B11" s="13">
        <v>1.72</v>
      </c>
      <c r="C11" s="18">
        <f t="shared" si="3"/>
        <v>1.1100000000000001</v>
      </c>
      <c r="D11" s="18">
        <f t="shared" si="0"/>
        <v>2.2804000000000002</v>
      </c>
      <c r="E11" s="28">
        <f t="shared" si="1"/>
        <v>0</v>
      </c>
      <c r="F11" s="18">
        <f t="shared" si="4"/>
        <v>0.74</v>
      </c>
      <c r="G11" s="18">
        <f t="shared" si="5"/>
        <v>0.44</v>
      </c>
      <c r="H11" s="29">
        <f t="shared" si="6"/>
        <v>1.4379199999999999</v>
      </c>
      <c r="J11" s="78"/>
      <c r="K11" s="79"/>
      <c r="L11" s="79"/>
      <c r="M11" s="79"/>
      <c r="N11" s="79"/>
      <c r="O11" s="79"/>
      <c r="P11" s="79"/>
      <c r="Q11" s="80"/>
      <c r="R11" s="33"/>
    </row>
    <row r="12" spans="1:18" ht="15.75" customHeight="1" x14ac:dyDescent="0.25">
      <c r="A12" s="43">
        <f t="shared" si="2"/>
        <v>9</v>
      </c>
      <c r="B12" s="12">
        <v>0.76</v>
      </c>
      <c r="C12" s="18">
        <f t="shared" si="3"/>
        <v>1.1100000000000001</v>
      </c>
      <c r="D12" s="19">
        <f t="shared" si="0"/>
        <v>2.2804000000000002</v>
      </c>
      <c r="E12" s="26">
        <f t="shared" si="1"/>
        <v>0</v>
      </c>
      <c r="F12" s="19">
        <f t="shared" si="4"/>
        <v>0.96</v>
      </c>
      <c r="G12" s="18">
        <f t="shared" si="5"/>
        <v>0.44</v>
      </c>
      <c r="H12" s="27">
        <f t="shared" si="6"/>
        <v>1.4379199999999999</v>
      </c>
      <c r="J12" s="78"/>
      <c r="K12" s="79"/>
      <c r="L12" s="79"/>
      <c r="M12" s="79"/>
      <c r="N12" s="79"/>
      <c r="O12" s="79"/>
      <c r="P12" s="79"/>
      <c r="Q12" s="80"/>
    </row>
    <row r="13" spans="1:18" ht="15.75" customHeight="1" x14ac:dyDescent="0.25">
      <c r="A13" s="44">
        <f t="shared" si="2"/>
        <v>10</v>
      </c>
      <c r="B13" s="13">
        <v>0.81</v>
      </c>
      <c r="C13" s="18">
        <f t="shared" si="3"/>
        <v>1.1100000000000001</v>
      </c>
      <c r="D13" s="18">
        <f t="shared" si="0"/>
        <v>2.2804000000000002</v>
      </c>
      <c r="E13" s="28">
        <f t="shared" si="1"/>
        <v>0</v>
      </c>
      <c r="F13" s="18">
        <f t="shared" si="4"/>
        <v>5.0000000000000044E-2</v>
      </c>
      <c r="G13" s="18">
        <f t="shared" si="5"/>
        <v>0.44</v>
      </c>
      <c r="H13" s="29">
        <f t="shared" si="6"/>
        <v>1.4379199999999999</v>
      </c>
      <c r="J13" s="78"/>
      <c r="K13" s="79"/>
      <c r="L13" s="79"/>
      <c r="M13" s="79"/>
      <c r="N13" s="79"/>
      <c r="O13" s="79"/>
      <c r="P13" s="79"/>
      <c r="Q13" s="80"/>
    </row>
    <row r="14" spans="1:18" ht="15.75" customHeight="1" x14ac:dyDescent="0.25">
      <c r="A14" s="43">
        <f t="shared" si="2"/>
        <v>11</v>
      </c>
      <c r="B14" s="12">
        <v>1.43</v>
      </c>
      <c r="C14" s="18">
        <f t="shared" si="3"/>
        <v>1.1100000000000001</v>
      </c>
      <c r="D14" s="19">
        <f t="shared" si="0"/>
        <v>2.2804000000000002</v>
      </c>
      <c r="E14" s="26">
        <f t="shared" si="1"/>
        <v>0</v>
      </c>
      <c r="F14" s="19">
        <f t="shared" si="4"/>
        <v>0.61999999999999988</v>
      </c>
      <c r="G14" s="18">
        <f t="shared" si="5"/>
        <v>0.44</v>
      </c>
      <c r="H14" s="27">
        <f t="shared" si="6"/>
        <v>1.4379199999999999</v>
      </c>
      <c r="J14" s="81"/>
      <c r="K14" s="82"/>
      <c r="L14" s="82"/>
      <c r="M14" s="82"/>
      <c r="N14" s="82"/>
      <c r="O14" s="82"/>
      <c r="P14" s="82"/>
      <c r="Q14" s="83"/>
    </row>
    <row r="15" spans="1:18" ht="15.75" customHeight="1" x14ac:dyDescent="0.25">
      <c r="A15" s="44">
        <f t="shared" si="2"/>
        <v>12</v>
      </c>
      <c r="B15" s="13">
        <v>0.81</v>
      </c>
      <c r="C15" s="18">
        <f t="shared" si="3"/>
        <v>1.1100000000000001</v>
      </c>
      <c r="D15" s="18">
        <f t="shared" si="0"/>
        <v>2.2804000000000002</v>
      </c>
      <c r="E15" s="28">
        <f t="shared" si="1"/>
        <v>0</v>
      </c>
      <c r="F15" s="18">
        <f t="shared" si="4"/>
        <v>0.61999999999999988</v>
      </c>
      <c r="G15" s="18">
        <f t="shared" si="5"/>
        <v>0.44</v>
      </c>
      <c r="H15" s="29">
        <f t="shared" si="6"/>
        <v>1.4379199999999999</v>
      </c>
      <c r="J15" s="33"/>
      <c r="K15" s="57" t="s">
        <v>20</v>
      </c>
      <c r="L15" s="57">
        <f>COUNTIF(RESULTS!$B$4:$B$63,"&gt;" &amp; D4)</f>
        <v>1</v>
      </c>
      <c r="M15" s="57" t="s">
        <v>21</v>
      </c>
      <c r="N15" s="57">
        <f>COUNTIF(RESULTS!$B$4:$B$63,"=" &amp; E4)</f>
        <v>4</v>
      </c>
      <c r="O15" s="57" t="s">
        <v>22</v>
      </c>
      <c r="P15" s="57">
        <f>COUNTIF(F5:F63, "&gt;" &amp; H4)</f>
        <v>1</v>
      </c>
      <c r="Q15" s="33"/>
    </row>
    <row r="16" spans="1:18" ht="15.75" customHeight="1" x14ac:dyDescent="0.25">
      <c r="A16" s="43">
        <f t="shared" si="2"/>
        <v>13</v>
      </c>
      <c r="B16" s="12">
        <v>0.86</v>
      </c>
      <c r="C16" s="18">
        <f t="shared" si="3"/>
        <v>1.1100000000000001</v>
      </c>
      <c r="D16" s="19">
        <f t="shared" si="0"/>
        <v>2.2804000000000002</v>
      </c>
      <c r="E16" s="26">
        <f t="shared" si="1"/>
        <v>0</v>
      </c>
      <c r="F16" s="19">
        <f t="shared" si="4"/>
        <v>4.9999999999999933E-2</v>
      </c>
      <c r="G16" s="18">
        <f t="shared" si="5"/>
        <v>0.44</v>
      </c>
      <c r="H16" s="27">
        <f t="shared" si="6"/>
        <v>1.4379199999999999</v>
      </c>
      <c r="J16" s="106" t="s">
        <v>17</v>
      </c>
      <c r="K16" s="60"/>
      <c r="L16" s="60"/>
      <c r="M16" s="60"/>
      <c r="N16" s="60"/>
      <c r="O16" s="60"/>
      <c r="P16" s="60"/>
      <c r="Q16" s="60"/>
    </row>
    <row r="17" spans="1:17" ht="15.75" customHeight="1" x14ac:dyDescent="0.25">
      <c r="A17" s="44">
        <f t="shared" si="2"/>
        <v>14</v>
      </c>
      <c r="B17" s="13">
        <v>0.79</v>
      </c>
      <c r="C17" s="18">
        <f t="shared" si="3"/>
        <v>1.1100000000000001</v>
      </c>
      <c r="D17" s="18">
        <f t="shared" si="0"/>
        <v>2.2804000000000002</v>
      </c>
      <c r="E17" s="28">
        <f t="shared" si="1"/>
        <v>0</v>
      </c>
      <c r="F17" s="18">
        <f t="shared" si="4"/>
        <v>6.9999999999999951E-2</v>
      </c>
      <c r="G17" s="18">
        <f t="shared" si="5"/>
        <v>0.44</v>
      </c>
      <c r="H17" s="29">
        <f t="shared" si="6"/>
        <v>1.4379199999999999</v>
      </c>
      <c r="J17" s="60"/>
      <c r="K17" s="60"/>
      <c r="L17" s="60"/>
      <c r="M17" s="60"/>
      <c r="N17" s="60"/>
      <c r="O17" s="60"/>
      <c r="P17" s="60"/>
      <c r="Q17" s="60"/>
    </row>
    <row r="18" spans="1:17" ht="15.75" customHeight="1" x14ac:dyDescent="0.25">
      <c r="A18" s="43">
        <f t="shared" si="2"/>
        <v>15</v>
      </c>
      <c r="B18" s="12">
        <v>1.25</v>
      </c>
      <c r="C18" s="18">
        <f t="shared" si="3"/>
        <v>1.1100000000000001</v>
      </c>
      <c r="D18" s="19">
        <f t="shared" si="0"/>
        <v>2.2804000000000002</v>
      </c>
      <c r="E18" s="26">
        <f t="shared" si="1"/>
        <v>0</v>
      </c>
      <c r="F18" s="19">
        <f t="shared" si="4"/>
        <v>0.45999999999999996</v>
      </c>
      <c r="G18" s="18">
        <f t="shared" si="5"/>
        <v>0.44</v>
      </c>
      <c r="H18" s="27">
        <f t="shared" si="6"/>
        <v>1.4379199999999999</v>
      </c>
      <c r="J18" s="60"/>
      <c r="K18" s="60"/>
      <c r="L18" s="60"/>
      <c r="M18" s="60"/>
      <c r="N18" s="60"/>
      <c r="O18" s="60"/>
      <c r="P18" s="60"/>
      <c r="Q18" s="60"/>
    </row>
    <row r="19" spans="1:17" ht="15.75" customHeight="1" x14ac:dyDescent="0.25">
      <c r="A19" s="44">
        <f t="shared" si="2"/>
        <v>16</v>
      </c>
      <c r="B19" s="13">
        <v>0.79</v>
      </c>
      <c r="C19" s="18">
        <f t="shared" si="3"/>
        <v>1.1100000000000001</v>
      </c>
      <c r="D19" s="18">
        <f t="shared" si="0"/>
        <v>2.2804000000000002</v>
      </c>
      <c r="E19" s="28">
        <f t="shared" si="1"/>
        <v>0</v>
      </c>
      <c r="F19" s="18">
        <f t="shared" si="4"/>
        <v>0.45999999999999996</v>
      </c>
      <c r="G19" s="18">
        <f t="shared" si="5"/>
        <v>0.44</v>
      </c>
      <c r="H19" s="29">
        <f t="shared" si="6"/>
        <v>1.4379199999999999</v>
      </c>
      <c r="J19" s="60"/>
      <c r="K19" s="60"/>
      <c r="L19" s="60"/>
      <c r="M19" s="60"/>
      <c r="N19" s="60"/>
      <c r="O19" s="60"/>
      <c r="P19" s="60"/>
      <c r="Q19" s="60"/>
    </row>
    <row r="20" spans="1:17" ht="15.75" customHeight="1" x14ac:dyDescent="0.25">
      <c r="A20" s="43">
        <f t="shared" si="2"/>
        <v>17</v>
      </c>
      <c r="B20" s="12">
        <v>0.99</v>
      </c>
      <c r="C20" s="18">
        <f t="shared" si="3"/>
        <v>1.1100000000000001</v>
      </c>
      <c r="D20" s="19">
        <f t="shared" si="0"/>
        <v>2.2804000000000002</v>
      </c>
      <c r="E20" s="26">
        <f t="shared" si="1"/>
        <v>0</v>
      </c>
      <c r="F20" s="19">
        <f t="shared" si="4"/>
        <v>0.19999999999999996</v>
      </c>
      <c r="G20" s="18">
        <f t="shared" si="5"/>
        <v>0.44</v>
      </c>
      <c r="H20" s="27">
        <f t="shared" si="6"/>
        <v>1.4379199999999999</v>
      </c>
      <c r="J20" s="60"/>
      <c r="K20" s="60"/>
      <c r="L20" s="60"/>
      <c r="M20" s="60"/>
      <c r="N20" s="60"/>
      <c r="O20" s="60"/>
      <c r="P20" s="60"/>
      <c r="Q20" s="60"/>
    </row>
    <row r="21" spans="1:17" ht="15.75" customHeight="1" x14ac:dyDescent="0.25">
      <c r="A21" s="44">
        <f t="shared" si="2"/>
        <v>18</v>
      </c>
      <c r="B21" s="13">
        <v>0.98</v>
      </c>
      <c r="C21" s="18">
        <f t="shared" si="3"/>
        <v>1.1100000000000001</v>
      </c>
      <c r="D21" s="18">
        <f t="shared" si="0"/>
        <v>2.2804000000000002</v>
      </c>
      <c r="E21" s="28">
        <f t="shared" si="1"/>
        <v>0</v>
      </c>
      <c r="F21" s="18">
        <f t="shared" si="4"/>
        <v>1.0000000000000009E-2</v>
      </c>
      <c r="G21" s="18">
        <f t="shared" si="5"/>
        <v>0.44</v>
      </c>
      <c r="H21" s="29">
        <f t="shared" si="6"/>
        <v>1.4379199999999999</v>
      </c>
      <c r="J21" s="60"/>
      <c r="K21" s="60"/>
      <c r="L21" s="60"/>
      <c r="M21" s="60"/>
      <c r="N21" s="60"/>
      <c r="O21" s="60"/>
      <c r="P21" s="60"/>
      <c r="Q21" s="60"/>
    </row>
    <row r="22" spans="1:17" ht="15.75" customHeight="1" x14ac:dyDescent="0.25">
      <c r="A22" s="43">
        <f t="shared" si="2"/>
        <v>19</v>
      </c>
      <c r="B22" s="12">
        <v>1.74</v>
      </c>
      <c r="C22" s="18">
        <f t="shared" si="3"/>
        <v>1.1100000000000001</v>
      </c>
      <c r="D22" s="19">
        <f t="shared" si="0"/>
        <v>2.2804000000000002</v>
      </c>
      <c r="E22" s="26">
        <f t="shared" si="1"/>
        <v>0</v>
      </c>
      <c r="F22" s="19">
        <f t="shared" si="4"/>
        <v>0.76</v>
      </c>
      <c r="G22" s="18">
        <f t="shared" si="5"/>
        <v>0.44</v>
      </c>
      <c r="H22" s="27">
        <f t="shared" si="6"/>
        <v>1.4379199999999999</v>
      </c>
      <c r="J22" s="60"/>
      <c r="K22" s="60"/>
      <c r="L22" s="60"/>
      <c r="M22" s="60"/>
      <c r="N22" s="60"/>
      <c r="O22" s="60"/>
      <c r="P22" s="60"/>
      <c r="Q22" s="60"/>
    </row>
    <row r="23" spans="1:17" ht="15.75" customHeight="1" x14ac:dyDescent="0.25">
      <c r="A23" s="44">
        <f t="shared" si="2"/>
        <v>20</v>
      </c>
      <c r="B23" s="13">
        <v>0.87</v>
      </c>
      <c r="C23" s="18">
        <f t="shared" si="3"/>
        <v>1.1100000000000001</v>
      </c>
      <c r="D23" s="18">
        <f t="shared" si="0"/>
        <v>2.2804000000000002</v>
      </c>
      <c r="E23" s="28">
        <f t="shared" si="1"/>
        <v>0</v>
      </c>
      <c r="F23" s="18">
        <f t="shared" si="4"/>
        <v>0.87</v>
      </c>
      <c r="G23" s="18">
        <f t="shared" si="5"/>
        <v>0.44</v>
      </c>
      <c r="H23" s="29">
        <f t="shared" si="6"/>
        <v>1.4379199999999999</v>
      </c>
      <c r="J23" s="60"/>
      <c r="K23" s="60"/>
      <c r="L23" s="60"/>
      <c r="M23" s="60"/>
      <c r="N23" s="60"/>
      <c r="O23" s="60"/>
      <c r="P23" s="60"/>
      <c r="Q23" s="60"/>
    </row>
    <row r="24" spans="1:17" ht="15.75" customHeight="1" x14ac:dyDescent="0.25">
      <c r="A24" s="43">
        <f t="shared" si="2"/>
        <v>21</v>
      </c>
      <c r="B24" s="12">
        <v>0.93</v>
      </c>
      <c r="C24" s="18">
        <f t="shared" si="3"/>
        <v>1.1100000000000001</v>
      </c>
      <c r="D24" s="19">
        <f t="shared" si="0"/>
        <v>2.2804000000000002</v>
      </c>
      <c r="E24" s="26">
        <f t="shared" si="1"/>
        <v>0</v>
      </c>
      <c r="F24" s="19">
        <f t="shared" si="4"/>
        <v>6.0000000000000053E-2</v>
      </c>
      <c r="G24" s="18">
        <f t="shared" si="5"/>
        <v>0.44</v>
      </c>
      <c r="H24" s="27">
        <f t="shared" si="6"/>
        <v>1.4379199999999999</v>
      </c>
      <c r="J24" s="60"/>
      <c r="K24" s="60"/>
      <c r="L24" s="60"/>
      <c r="M24" s="60"/>
      <c r="N24" s="60"/>
      <c r="O24" s="60"/>
      <c r="P24" s="60"/>
      <c r="Q24" s="60"/>
    </row>
    <row r="25" spans="1:17" ht="15.75" customHeight="1" x14ac:dyDescent="0.25">
      <c r="A25" s="44">
        <f t="shared" si="2"/>
        <v>22</v>
      </c>
      <c r="B25" s="13">
        <v>1.22</v>
      </c>
      <c r="C25" s="18">
        <f t="shared" si="3"/>
        <v>1.1100000000000001</v>
      </c>
      <c r="D25" s="18">
        <f t="shared" si="0"/>
        <v>2.2804000000000002</v>
      </c>
      <c r="E25" s="28">
        <f t="shared" si="1"/>
        <v>0</v>
      </c>
      <c r="F25" s="18">
        <f t="shared" si="4"/>
        <v>0.28999999999999992</v>
      </c>
      <c r="G25" s="18">
        <f t="shared" si="5"/>
        <v>0.44</v>
      </c>
      <c r="H25" s="29">
        <f t="shared" si="6"/>
        <v>1.4379199999999999</v>
      </c>
      <c r="J25" s="60"/>
      <c r="K25" s="60"/>
      <c r="L25" s="60"/>
      <c r="M25" s="60"/>
      <c r="N25" s="60"/>
      <c r="O25" s="60"/>
      <c r="P25" s="60"/>
      <c r="Q25" s="60"/>
    </row>
    <row r="26" spans="1:17" ht="15.75" customHeight="1" x14ac:dyDescent="0.25">
      <c r="A26" s="43">
        <f t="shared" si="2"/>
        <v>23</v>
      </c>
      <c r="B26" s="12">
        <v>1.24</v>
      </c>
      <c r="C26" s="18">
        <f t="shared" si="3"/>
        <v>1.1100000000000001</v>
      </c>
      <c r="D26" s="19">
        <f t="shared" si="0"/>
        <v>2.2804000000000002</v>
      </c>
      <c r="E26" s="26">
        <f t="shared" si="1"/>
        <v>0</v>
      </c>
      <c r="F26" s="19">
        <f t="shared" si="4"/>
        <v>2.0000000000000018E-2</v>
      </c>
      <c r="G26" s="18">
        <f t="shared" si="5"/>
        <v>0.44</v>
      </c>
      <c r="H26" s="27">
        <f t="shared" si="6"/>
        <v>1.4379199999999999</v>
      </c>
      <c r="J26" s="106" t="s">
        <v>18</v>
      </c>
      <c r="K26" s="60"/>
      <c r="L26" s="60"/>
      <c r="M26" s="60"/>
      <c r="N26" s="60"/>
      <c r="O26" s="60"/>
      <c r="P26" s="60"/>
      <c r="Q26" s="60"/>
    </row>
    <row r="27" spans="1:17" ht="15.75" customHeight="1" x14ac:dyDescent="0.25">
      <c r="A27" s="44">
        <f t="shared" si="2"/>
        <v>24</v>
      </c>
      <c r="B27" s="13">
        <v>1.26</v>
      </c>
      <c r="C27" s="18">
        <f t="shared" si="3"/>
        <v>1.1100000000000001</v>
      </c>
      <c r="D27" s="18">
        <f t="shared" si="0"/>
        <v>2.2804000000000002</v>
      </c>
      <c r="E27" s="28">
        <f t="shared" si="1"/>
        <v>0</v>
      </c>
      <c r="F27" s="18">
        <f t="shared" si="4"/>
        <v>2.0000000000000018E-2</v>
      </c>
      <c r="G27" s="18">
        <f t="shared" si="5"/>
        <v>0.44</v>
      </c>
      <c r="H27" s="29">
        <f t="shared" si="6"/>
        <v>1.4379199999999999</v>
      </c>
      <c r="J27" s="60"/>
      <c r="K27" s="60"/>
      <c r="L27" s="60"/>
      <c r="M27" s="60"/>
      <c r="N27" s="60"/>
      <c r="O27" s="60"/>
      <c r="P27" s="60"/>
      <c r="Q27" s="60"/>
    </row>
    <row r="28" spans="1:17" ht="15.75" customHeight="1" x14ac:dyDescent="0.25">
      <c r="A28" s="43">
        <f t="shared" si="2"/>
        <v>25</v>
      </c>
      <c r="B28" s="32">
        <v>0</v>
      </c>
      <c r="C28" s="18">
        <f t="shared" si="3"/>
        <v>1.1100000000000001</v>
      </c>
      <c r="D28" s="19">
        <f t="shared" si="0"/>
        <v>2.2804000000000002</v>
      </c>
      <c r="E28" s="26">
        <f t="shared" si="1"/>
        <v>0</v>
      </c>
      <c r="F28" s="19">
        <f t="shared" si="4"/>
        <v>1.26</v>
      </c>
      <c r="G28" s="18">
        <f t="shared" si="5"/>
        <v>0.44</v>
      </c>
      <c r="H28" s="27">
        <f t="shared" si="6"/>
        <v>1.4379199999999999</v>
      </c>
      <c r="J28" s="60"/>
      <c r="K28" s="60"/>
      <c r="L28" s="60"/>
      <c r="M28" s="60"/>
      <c r="N28" s="60"/>
      <c r="O28" s="60"/>
      <c r="P28" s="60"/>
      <c r="Q28" s="60"/>
    </row>
    <row r="29" spans="1:17" ht="15.75" customHeight="1" x14ac:dyDescent="0.25">
      <c r="A29" s="44">
        <f t="shared" si="2"/>
        <v>26</v>
      </c>
      <c r="B29" s="13">
        <v>1.0900000000000001</v>
      </c>
      <c r="C29" s="18">
        <f t="shared" si="3"/>
        <v>1.1100000000000001</v>
      </c>
      <c r="D29" s="18">
        <f t="shared" si="0"/>
        <v>2.2804000000000002</v>
      </c>
      <c r="E29" s="28">
        <f t="shared" si="1"/>
        <v>0</v>
      </c>
      <c r="F29" s="18">
        <f t="shared" si="4"/>
        <v>1.0900000000000001</v>
      </c>
      <c r="G29" s="18">
        <f t="shared" si="5"/>
        <v>0.44</v>
      </c>
      <c r="H29" s="29">
        <f t="shared" si="6"/>
        <v>1.4379199999999999</v>
      </c>
      <c r="J29" s="60"/>
      <c r="K29" s="60"/>
      <c r="L29" s="60"/>
      <c r="M29" s="60"/>
      <c r="N29" s="60"/>
      <c r="O29" s="60"/>
      <c r="P29" s="60"/>
      <c r="Q29" s="60"/>
    </row>
    <row r="30" spans="1:17" ht="15.75" customHeight="1" x14ac:dyDescent="0.25">
      <c r="A30" s="43">
        <f t="shared" si="2"/>
        <v>27</v>
      </c>
      <c r="B30" s="12">
        <v>1.17</v>
      </c>
      <c r="C30" s="18">
        <f t="shared" si="3"/>
        <v>1.1100000000000001</v>
      </c>
      <c r="D30" s="19">
        <f t="shared" si="0"/>
        <v>2.2804000000000002</v>
      </c>
      <c r="E30" s="26">
        <f t="shared" si="1"/>
        <v>0</v>
      </c>
      <c r="F30" s="19">
        <f t="shared" si="4"/>
        <v>7.9999999999999849E-2</v>
      </c>
      <c r="G30" s="18">
        <f t="shared" si="5"/>
        <v>0.44</v>
      </c>
      <c r="H30" s="27">
        <f t="shared" si="6"/>
        <v>1.4379199999999999</v>
      </c>
      <c r="J30" s="60"/>
      <c r="K30" s="60"/>
      <c r="L30" s="60"/>
      <c r="M30" s="60"/>
      <c r="N30" s="60"/>
      <c r="O30" s="60"/>
      <c r="P30" s="60"/>
      <c r="Q30" s="60"/>
    </row>
    <row r="31" spans="1:17" ht="15.75" customHeight="1" x14ac:dyDescent="0.25">
      <c r="A31" s="44">
        <f t="shared" si="2"/>
        <v>28</v>
      </c>
      <c r="B31" s="13">
        <v>0.88</v>
      </c>
      <c r="C31" s="18">
        <f t="shared" si="3"/>
        <v>1.1100000000000001</v>
      </c>
      <c r="D31" s="18">
        <f t="shared" si="0"/>
        <v>2.2804000000000002</v>
      </c>
      <c r="E31" s="28">
        <f t="shared" si="1"/>
        <v>0</v>
      </c>
      <c r="F31" s="18">
        <f t="shared" si="4"/>
        <v>0.28999999999999992</v>
      </c>
      <c r="G31" s="18">
        <f t="shared" si="5"/>
        <v>0.44</v>
      </c>
      <c r="H31" s="29">
        <f t="shared" si="6"/>
        <v>1.4379199999999999</v>
      </c>
      <c r="J31" s="60"/>
      <c r="K31" s="60"/>
      <c r="L31" s="60"/>
      <c r="M31" s="60"/>
      <c r="N31" s="60"/>
      <c r="O31" s="60"/>
      <c r="P31" s="60"/>
      <c r="Q31" s="60"/>
    </row>
    <row r="32" spans="1:17" ht="15.75" customHeight="1" x14ac:dyDescent="0.25">
      <c r="A32" s="43">
        <f t="shared" si="2"/>
        <v>29</v>
      </c>
      <c r="B32" s="12">
        <v>1.1299999999999999</v>
      </c>
      <c r="C32" s="18">
        <f t="shared" si="3"/>
        <v>1.1100000000000001</v>
      </c>
      <c r="D32" s="19">
        <f t="shared" si="0"/>
        <v>2.2804000000000002</v>
      </c>
      <c r="E32" s="26">
        <f t="shared" si="1"/>
        <v>0</v>
      </c>
      <c r="F32" s="19">
        <f t="shared" si="4"/>
        <v>0.24999999999999989</v>
      </c>
      <c r="G32" s="18">
        <f t="shared" si="5"/>
        <v>0.44</v>
      </c>
      <c r="H32" s="27">
        <f t="shared" si="6"/>
        <v>1.4379199999999999</v>
      </c>
      <c r="J32" s="60"/>
      <c r="K32" s="60"/>
      <c r="L32" s="60"/>
      <c r="M32" s="60"/>
      <c r="N32" s="60"/>
      <c r="O32" s="60"/>
      <c r="P32" s="60"/>
      <c r="Q32" s="60"/>
    </row>
    <row r="33" spans="1:17" ht="15.75" customHeight="1" x14ac:dyDescent="0.25">
      <c r="A33" s="44">
        <f t="shared" si="2"/>
        <v>30</v>
      </c>
      <c r="B33" s="13">
        <v>1.81</v>
      </c>
      <c r="C33" s="18">
        <f t="shared" si="3"/>
        <v>1.1100000000000001</v>
      </c>
      <c r="D33" s="18">
        <f t="shared" si="0"/>
        <v>2.2804000000000002</v>
      </c>
      <c r="E33" s="28">
        <f t="shared" si="1"/>
        <v>0</v>
      </c>
      <c r="F33" s="18">
        <f t="shared" si="4"/>
        <v>0.68000000000000016</v>
      </c>
      <c r="G33" s="18">
        <f t="shared" si="5"/>
        <v>0.44</v>
      </c>
      <c r="H33" s="29">
        <f t="shared" si="6"/>
        <v>1.4379199999999999</v>
      </c>
      <c r="J33" s="60"/>
      <c r="K33" s="60"/>
      <c r="L33" s="60"/>
      <c r="M33" s="60"/>
      <c r="N33" s="60"/>
      <c r="O33" s="60"/>
      <c r="P33" s="60"/>
      <c r="Q33" s="60"/>
    </row>
    <row r="34" spans="1:17" ht="15.75" customHeight="1" x14ac:dyDescent="0.25">
      <c r="A34" s="43">
        <f t="shared" si="2"/>
        <v>31</v>
      </c>
      <c r="B34" s="12">
        <v>1.17</v>
      </c>
      <c r="C34" s="18">
        <f t="shared" si="3"/>
        <v>1.1100000000000001</v>
      </c>
      <c r="D34" s="19">
        <f t="shared" si="0"/>
        <v>2.2804000000000002</v>
      </c>
      <c r="E34" s="26">
        <f t="shared" si="1"/>
        <v>0</v>
      </c>
      <c r="F34" s="19">
        <f t="shared" si="4"/>
        <v>0.64000000000000012</v>
      </c>
      <c r="G34" s="18">
        <f t="shared" si="5"/>
        <v>0.44</v>
      </c>
      <c r="H34" s="27">
        <f t="shared" si="6"/>
        <v>1.4379199999999999</v>
      </c>
      <c r="J34" s="60"/>
      <c r="K34" s="60"/>
      <c r="L34" s="60"/>
      <c r="M34" s="60"/>
      <c r="N34" s="60"/>
      <c r="O34" s="60"/>
      <c r="P34" s="60"/>
      <c r="Q34" s="60"/>
    </row>
    <row r="35" spans="1:17" ht="15.75" customHeight="1" x14ac:dyDescent="0.25">
      <c r="A35" s="44">
        <f t="shared" si="2"/>
        <v>32</v>
      </c>
      <c r="B35" s="13">
        <v>1.74</v>
      </c>
      <c r="C35" s="18">
        <f t="shared" si="3"/>
        <v>1.1100000000000001</v>
      </c>
      <c r="D35" s="18">
        <f t="shared" si="0"/>
        <v>2.2804000000000002</v>
      </c>
      <c r="E35" s="28">
        <f t="shared" si="1"/>
        <v>0</v>
      </c>
      <c r="F35" s="18">
        <f t="shared" si="4"/>
        <v>0.57000000000000006</v>
      </c>
      <c r="G35" s="18">
        <f t="shared" si="5"/>
        <v>0.44</v>
      </c>
      <c r="H35" s="29">
        <f t="shared" si="6"/>
        <v>1.4379199999999999</v>
      </c>
      <c r="J35" s="60"/>
      <c r="K35" s="60"/>
      <c r="L35" s="60"/>
      <c r="M35" s="60"/>
      <c r="N35" s="60"/>
      <c r="O35" s="60"/>
      <c r="P35" s="60"/>
      <c r="Q35" s="60"/>
    </row>
    <row r="36" spans="1:17" ht="15.75" customHeight="1" x14ac:dyDescent="0.25">
      <c r="A36" s="43">
        <f t="shared" si="2"/>
        <v>33</v>
      </c>
      <c r="B36" s="12">
        <v>0.81</v>
      </c>
      <c r="C36" s="18">
        <f t="shared" si="3"/>
        <v>1.1100000000000001</v>
      </c>
      <c r="D36" s="19">
        <f t="shared" si="0"/>
        <v>2.2804000000000002</v>
      </c>
      <c r="E36" s="26">
        <f t="shared" si="1"/>
        <v>0</v>
      </c>
      <c r="F36" s="19">
        <f t="shared" si="4"/>
        <v>0.92999999999999994</v>
      </c>
      <c r="G36" s="18">
        <f t="shared" si="5"/>
        <v>0.44</v>
      </c>
      <c r="H36" s="27">
        <f t="shared" si="6"/>
        <v>1.4379199999999999</v>
      </c>
    </row>
    <row r="37" spans="1:17" ht="15.75" customHeight="1" x14ac:dyDescent="0.25">
      <c r="A37" s="44">
        <f t="shared" si="2"/>
        <v>34</v>
      </c>
      <c r="B37" s="13">
        <v>1.28</v>
      </c>
      <c r="C37" s="18">
        <f t="shared" si="3"/>
        <v>1.1100000000000001</v>
      </c>
      <c r="D37" s="18">
        <f t="shared" si="0"/>
        <v>2.2804000000000002</v>
      </c>
      <c r="E37" s="28">
        <f t="shared" si="1"/>
        <v>0</v>
      </c>
      <c r="F37" s="18">
        <f t="shared" si="4"/>
        <v>0.47</v>
      </c>
      <c r="G37" s="18">
        <f t="shared" si="5"/>
        <v>0.44</v>
      </c>
      <c r="H37" s="29">
        <f t="shared" si="6"/>
        <v>1.4379199999999999</v>
      </c>
    </row>
    <row r="38" spans="1:17" ht="15.75" customHeight="1" x14ac:dyDescent="0.25">
      <c r="A38" s="43">
        <f t="shared" si="2"/>
        <v>35</v>
      </c>
      <c r="B38" s="32">
        <v>0</v>
      </c>
      <c r="C38" s="18">
        <f t="shared" si="3"/>
        <v>1.1100000000000001</v>
      </c>
      <c r="D38" s="19">
        <f t="shared" si="0"/>
        <v>2.2804000000000002</v>
      </c>
      <c r="E38" s="26">
        <f t="shared" si="1"/>
        <v>0</v>
      </c>
      <c r="F38" s="19">
        <f t="shared" si="4"/>
        <v>1.28</v>
      </c>
      <c r="G38" s="18">
        <f t="shared" si="5"/>
        <v>0.44</v>
      </c>
      <c r="H38" s="27">
        <f t="shared" si="6"/>
        <v>1.4379199999999999</v>
      </c>
    </row>
    <row r="39" spans="1:17" ht="15.75" customHeight="1" x14ac:dyDescent="0.25">
      <c r="A39" s="44">
        <f t="shared" si="2"/>
        <v>36</v>
      </c>
      <c r="B39" s="13">
        <v>1.1100000000000001</v>
      </c>
      <c r="C39" s="18">
        <f t="shared" si="3"/>
        <v>1.1100000000000001</v>
      </c>
      <c r="D39" s="18">
        <f t="shared" si="0"/>
        <v>2.2804000000000002</v>
      </c>
      <c r="E39" s="28">
        <f t="shared" si="1"/>
        <v>0</v>
      </c>
      <c r="F39" s="18">
        <f t="shared" si="4"/>
        <v>1.1100000000000001</v>
      </c>
      <c r="G39" s="18">
        <f t="shared" si="5"/>
        <v>0.44</v>
      </c>
      <c r="H39" s="29">
        <f t="shared" si="6"/>
        <v>1.4379199999999999</v>
      </c>
    </row>
    <row r="40" spans="1:17" ht="15.75" customHeight="1" x14ac:dyDescent="0.25">
      <c r="A40" s="43">
        <f t="shared" si="2"/>
        <v>37</v>
      </c>
      <c r="B40" s="12">
        <v>1.17</v>
      </c>
      <c r="C40" s="18">
        <f t="shared" si="3"/>
        <v>1.1100000000000001</v>
      </c>
      <c r="D40" s="19">
        <f t="shared" si="0"/>
        <v>2.2804000000000002</v>
      </c>
      <c r="E40" s="26">
        <f t="shared" si="1"/>
        <v>0</v>
      </c>
      <c r="F40" s="19">
        <f t="shared" si="4"/>
        <v>5.9999999999999831E-2</v>
      </c>
      <c r="G40" s="18">
        <f t="shared" si="5"/>
        <v>0.44</v>
      </c>
      <c r="H40" s="27">
        <f t="shared" si="6"/>
        <v>1.4379199999999999</v>
      </c>
    </row>
    <row r="41" spans="1:17" ht="15.75" customHeight="1" x14ac:dyDescent="0.25">
      <c r="A41" s="44">
        <f t="shared" si="2"/>
        <v>38</v>
      </c>
      <c r="B41" s="13">
        <v>1.22</v>
      </c>
      <c r="C41" s="18">
        <f t="shared" si="3"/>
        <v>1.1100000000000001</v>
      </c>
      <c r="D41" s="18">
        <f t="shared" si="0"/>
        <v>2.2804000000000002</v>
      </c>
      <c r="E41" s="28">
        <f t="shared" si="1"/>
        <v>0</v>
      </c>
      <c r="F41" s="18">
        <f t="shared" si="4"/>
        <v>5.0000000000000044E-2</v>
      </c>
      <c r="G41" s="18">
        <f t="shared" si="5"/>
        <v>0.44</v>
      </c>
      <c r="H41" s="29">
        <f t="shared" si="6"/>
        <v>1.4379199999999999</v>
      </c>
    </row>
    <row r="42" spans="1:17" ht="15.75" customHeight="1" x14ac:dyDescent="0.25">
      <c r="A42" s="43">
        <f t="shared" si="2"/>
        <v>39</v>
      </c>
      <c r="B42" s="12">
        <v>1.26</v>
      </c>
      <c r="C42" s="18">
        <f t="shared" si="3"/>
        <v>1.1100000000000001</v>
      </c>
      <c r="D42" s="19">
        <f t="shared" si="0"/>
        <v>2.2804000000000002</v>
      </c>
      <c r="E42" s="26">
        <f t="shared" si="1"/>
        <v>0</v>
      </c>
      <c r="F42" s="19">
        <f t="shared" si="4"/>
        <v>4.0000000000000036E-2</v>
      </c>
      <c r="G42" s="18">
        <f t="shared" si="5"/>
        <v>0.44</v>
      </c>
      <c r="H42" s="27">
        <f t="shared" si="6"/>
        <v>1.4379199999999999</v>
      </c>
    </row>
    <row r="43" spans="1:17" ht="15.75" customHeight="1" x14ac:dyDescent="0.25">
      <c r="A43" s="44">
        <f t="shared" si="2"/>
        <v>40</v>
      </c>
      <c r="B43" s="13">
        <v>1.01</v>
      </c>
      <c r="C43" s="18">
        <f t="shared" si="3"/>
        <v>1.1100000000000001</v>
      </c>
      <c r="D43" s="18">
        <f t="shared" si="0"/>
        <v>2.2804000000000002</v>
      </c>
      <c r="E43" s="28">
        <f t="shared" si="1"/>
        <v>0</v>
      </c>
      <c r="F43" s="18">
        <f t="shared" si="4"/>
        <v>0.25</v>
      </c>
      <c r="G43" s="18">
        <f t="shared" si="5"/>
        <v>0.44</v>
      </c>
      <c r="H43" s="29">
        <f t="shared" si="6"/>
        <v>1.4379199999999999</v>
      </c>
    </row>
    <row r="44" spans="1:17" ht="15.75" customHeight="1" x14ac:dyDescent="0.25">
      <c r="A44" s="43">
        <f t="shared" si="2"/>
        <v>41</v>
      </c>
      <c r="B44" s="32">
        <v>2.62</v>
      </c>
      <c r="C44" s="18">
        <f t="shared" si="3"/>
        <v>1.1100000000000001</v>
      </c>
      <c r="D44" s="19">
        <f t="shared" si="0"/>
        <v>2.2804000000000002</v>
      </c>
      <c r="E44" s="26">
        <f t="shared" si="1"/>
        <v>0</v>
      </c>
      <c r="F44" s="34">
        <f t="shared" si="4"/>
        <v>1.61</v>
      </c>
      <c r="G44" s="18">
        <f t="shared" si="5"/>
        <v>0.44</v>
      </c>
      <c r="H44" s="27">
        <f t="shared" si="6"/>
        <v>1.4379199999999999</v>
      </c>
    </row>
    <row r="45" spans="1:17" ht="15.75" customHeight="1" x14ac:dyDescent="0.25">
      <c r="A45" s="44">
        <f t="shared" si="2"/>
        <v>42</v>
      </c>
      <c r="B45" s="13">
        <v>1.44</v>
      </c>
      <c r="C45" s="18">
        <f t="shared" si="3"/>
        <v>1.1100000000000001</v>
      </c>
      <c r="D45" s="18">
        <f t="shared" si="0"/>
        <v>2.2804000000000002</v>
      </c>
      <c r="E45" s="28">
        <f t="shared" si="1"/>
        <v>0</v>
      </c>
      <c r="F45" s="18">
        <f t="shared" si="4"/>
        <v>1.1800000000000002</v>
      </c>
      <c r="G45" s="18">
        <f t="shared" si="5"/>
        <v>0.44</v>
      </c>
      <c r="H45" s="29">
        <f t="shared" si="6"/>
        <v>1.4379199999999999</v>
      </c>
    </row>
    <row r="46" spans="1:17" ht="15.75" customHeight="1" x14ac:dyDescent="0.25">
      <c r="A46" s="43">
        <f t="shared" si="2"/>
        <v>43</v>
      </c>
      <c r="B46" s="12">
        <v>1.24</v>
      </c>
      <c r="C46" s="18">
        <f t="shared" si="3"/>
        <v>1.1100000000000001</v>
      </c>
      <c r="D46" s="19">
        <f t="shared" si="0"/>
        <v>2.2804000000000002</v>
      </c>
      <c r="E46" s="26">
        <f t="shared" si="1"/>
        <v>0</v>
      </c>
      <c r="F46" s="19">
        <f t="shared" si="4"/>
        <v>0.19999999999999996</v>
      </c>
      <c r="G46" s="18">
        <f t="shared" si="5"/>
        <v>0.44</v>
      </c>
      <c r="H46" s="27">
        <f t="shared" si="6"/>
        <v>1.4379199999999999</v>
      </c>
    </row>
    <row r="47" spans="1:17" ht="15.75" customHeight="1" x14ac:dyDescent="0.25">
      <c r="A47" s="44">
        <f t="shared" si="2"/>
        <v>44</v>
      </c>
      <c r="B47" s="13">
        <v>1.05</v>
      </c>
      <c r="C47" s="18">
        <f t="shared" si="3"/>
        <v>1.1100000000000001</v>
      </c>
      <c r="D47" s="18">
        <f t="shared" si="0"/>
        <v>2.2804000000000002</v>
      </c>
      <c r="E47" s="28">
        <f t="shared" si="1"/>
        <v>0</v>
      </c>
      <c r="F47" s="18">
        <f t="shared" si="4"/>
        <v>0.18999999999999995</v>
      </c>
      <c r="G47" s="18">
        <f t="shared" si="5"/>
        <v>0.44</v>
      </c>
      <c r="H47" s="29">
        <f t="shared" si="6"/>
        <v>1.4379199999999999</v>
      </c>
    </row>
    <row r="48" spans="1:17" ht="15.75" customHeight="1" x14ac:dyDescent="0.25">
      <c r="A48" s="43">
        <f t="shared" si="2"/>
        <v>45</v>
      </c>
      <c r="B48" s="12">
        <v>1.02</v>
      </c>
      <c r="C48" s="18">
        <f t="shared" si="3"/>
        <v>1.1100000000000001</v>
      </c>
      <c r="D48" s="19">
        <f t="shared" si="0"/>
        <v>2.2804000000000002</v>
      </c>
      <c r="E48" s="26">
        <f t="shared" si="1"/>
        <v>0</v>
      </c>
      <c r="F48" s="19">
        <f t="shared" si="4"/>
        <v>3.0000000000000027E-2</v>
      </c>
      <c r="G48" s="18">
        <f t="shared" si="5"/>
        <v>0.44</v>
      </c>
      <c r="H48" s="27">
        <f t="shared" si="6"/>
        <v>1.4379199999999999</v>
      </c>
    </row>
    <row r="49" spans="1:8" ht="15.75" customHeight="1" x14ac:dyDescent="0.25">
      <c r="A49" s="44">
        <f t="shared" si="2"/>
        <v>46</v>
      </c>
      <c r="B49" s="13">
        <v>0.99</v>
      </c>
      <c r="C49" s="18">
        <f t="shared" si="3"/>
        <v>1.1100000000000001</v>
      </c>
      <c r="D49" s="18">
        <f t="shared" si="0"/>
        <v>2.2804000000000002</v>
      </c>
      <c r="E49" s="28">
        <f t="shared" si="1"/>
        <v>0</v>
      </c>
      <c r="F49" s="18">
        <f t="shared" si="4"/>
        <v>3.0000000000000027E-2</v>
      </c>
      <c r="G49" s="18">
        <f t="shared" si="5"/>
        <v>0.44</v>
      </c>
      <c r="H49" s="29">
        <f t="shared" si="6"/>
        <v>1.4379199999999999</v>
      </c>
    </row>
    <row r="50" spans="1:8" ht="15.75" customHeight="1" x14ac:dyDescent="0.25">
      <c r="A50" s="43">
        <f t="shared" si="2"/>
        <v>47</v>
      </c>
      <c r="B50" s="12">
        <v>0.9</v>
      </c>
      <c r="C50" s="18">
        <f t="shared" si="3"/>
        <v>1.1100000000000001</v>
      </c>
      <c r="D50" s="19">
        <f t="shared" si="0"/>
        <v>2.2804000000000002</v>
      </c>
      <c r="E50" s="26">
        <f t="shared" si="1"/>
        <v>0</v>
      </c>
      <c r="F50" s="19">
        <f t="shared" si="4"/>
        <v>8.9999999999999969E-2</v>
      </c>
      <c r="G50" s="18">
        <f t="shared" si="5"/>
        <v>0.44</v>
      </c>
      <c r="H50" s="27">
        <f t="shared" si="6"/>
        <v>1.4379199999999999</v>
      </c>
    </row>
    <row r="51" spans="1:8" ht="15.75" customHeight="1" x14ac:dyDescent="0.25">
      <c r="A51" s="44">
        <f t="shared" si="2"/>
        <v>48</v>
      </c>
      <c r="B51" s="32">
        <v>0</v>
      </c>
      <c r="C51" s="18">
        <f t="shared" si="3"/>
        <v>1.1100000000000001</v>
      </c>
      <c r="D51" s="18">
        <f t="shared" si="0"/>
        <v>2.2804000000000002</v>
      </c>
      <c r="E51" s="28">
        <f t="shared" si="1"/>
        <v>0</v>
      </c>
      <c r="F51" s="18">
        <f t="shared" si="4"/>
        <v>0.9</v>
      </c>
      <c r="G51" s="18">
        <f t="shared" si="5"/>
        <v>0.44</v>
      </c>
      <c r="H51" s="29">
        <f t="shared" si="6"/>
        <v>1.4379199999999999</v>
      </c>
    </row>
    <row r="52" spans="1:8" ht="15.75" customHeight="1" x14ac:dyDescent="0.25">
      <c r="A52" s="43">
        <f t="shared" si="2"/>
        <v>49</v>
      </c>
      <c r="B52" s="12">
        <v>1.1200000000000001</v>
      </c>
      <c r="C52" s="18">
        <f t="shared" si="3"/>
        <v>1.1100000000000001</v>
      </c>
      <c r="D52" s="19">
        <f t="shared" si="0"/>
        <v>2.2804000000000002</v>
      </c>
      <c r="E52" s="26">
        <f t="shared" si="1"/>
        <v>0</v>
      </c>
      <c r="F52" s="19">
        <f t="shared" si="4"/>
        <v>1.1200000000000001</v>
      </c>
      <c r="G52" s="18">
        <f t="shared" si="5"/>
        <v>0.44</v>
      </c>
      <c r="H52" s="27">
        <f t="shared" si="6"/>
        <v>1.4379199999999999</v>
      </c>
    </row>
    <row r="53" spans="1:8" ht="15.75" customHeight="1" x14ac:dyDescent="0.25">
      <c r="A53" s="44">
        <f t="shared" si="2"/>
        <v>50</v>
      </c>
      <c r="B53" s="13">
        <v>1.23</v>
      </c>
      <c r="C53" s="18">
        <f t="shared" si="3"/>
        <v>1.1100000000000001</v>
      </c>
      <c r="D53" s="18">
        <f t="shared" si="0"/>
        <v>2.2804000000000002</v>
      </c>
      <c r="E53" s="28">
        <f t="shared" si="1"/>
        <v>0</v>
      </c>
      <c r="F53" s="18">
        <f t="shared" si="4"/>
        <v>0.10999999999999988</v>
      </c>
      <c r="G53" s="18">
        <f t="shared" si="5"/>
        <v>0.44</v>
      </c>
      <c r="H53" s="29">
        <f t="shared" si="6"/>
        <v>1.4379199999999999</v>
      </c>
    </row>
    <row r="54" spans="1:8" ht="15.75" customHeight="1" x14ac:dyDescent="0.25">
      <c r="A54" s="43">
        <f t="shared" si="2"/>
        <v>51</v>
      </c>
      <c r="B54" s="12">
        <v>1.18</v>
      </c>
      <c r="C54" s="18">
        <f t="shared" si="3"/>
        <v>1.1100000000000001</v>
      </c>
      <c r="D54" s="19">
        <f t="shared" si="0"/>
        <v>2.2804000000000002</v>
      </c>
      <c r="E54" s="26">
        <f t="shared" si="1"/>
        <v>0</v>
      </c>
      <c r="F54" s="19">
        <f t="shared" si="4"/>
        <v>5.0000000000000044E-2</v>
      </c>
      <c r="G54" s="18">
        <f t="shared" si="5"/>
        <v>0.44</v>
      </c>
      <c r="H54" s="27">
        <f t="shared" si="6"/>
        <v>1.4379199999999999</v>
      </c>
    </row>
    <row r="55" spans="1:8" ht="15.75" customHeight="1" x14ac:dyDescent="0.25">
      <c r="A55" s="44">
        <f t="shared" si="2"/>
        <v>52</v>
      </c>
      <c r="B55" s="13">
        <v>1.42</v>
      </c>
      <c r="C55" s="18">
        <f t="shared" si="3"/>
        <v>1.1100000000000001</v>
      </c>
      <c r="D55" s="18">
        <f t="shared" si="0"/>
        <v>2.2804000000000002</v>
      </c>
      <c r="E55" s="28">
        <f t="shared" si="1"/>
        <v>0</v>
      </c>
      <c r="F55" s="18">
        <f t="shared" si="4"/>
        <v>0.24</v>
      </c>
      <c r="G55" s="18">
        <f t="shared" si="5"/>
        <v>0.44</v>
      </c>
      <c r="H55" s="29">
        <f t="shared" si="6"/>
        <v>1.4379199999999999</v>
      </c>
    </row>
    <row r="56" spans="1:8" ht="15.75" customHeight="1" x14ac:dyDescent="0.25">
      <c r="A56" s="43">
        <f t="shared" si="2"/>
        <v>53</v>
      </c>
      <c r="B56" s="12">
        <v>1.38</v>
      </c>
      <c r="C56" s="18">
        <f t="shared" si="3"/>
        <v>1.1100000000000001</v>
      </c>
      <c r="D56" s="19">
        <f t="shared" si="0"/>
        <v>2.2804000000000002</v>
      </c>
      <c r="E56" s="26">
        <f t="shared" si="1"/>
        <v>0</v>
      </c>
      <c r="F56" s="19">
        <f t="shared" si="4"/>
        <v>4.0000000000000036E-2</v>
      </c>
      <c r="G56" s="18">
        <f t="shared" si="5"/>
        <v>0.44</v>
      </c>
      <c r="H56" s="27">
        <f t="shared" si="6"/>
        <v>1.4379199999999999</v>
      </c>
    </row>
    <row r="57" spans="1:8" ht="15.75" customHeight="1" x14ac:dyDescent="0.25">
      <c r="A57" s="44">
        <f t="shared" si="2"/>
        <v>54</v>
      </c>
      <c r="B57" s="13">
        <v>0.77</v>
      </c>
      <c r="C57" s="18">
        <f t="shared" si="3"/>
        <v>1.1100000000000001</v>
      </c>
      <c r="D57" s="18">
        <f t="shared" si="0"/>
        <v>2.2804000000000002</v>
      </c>
      <c r="E57" s="28">
        <f t="shared" si="1"/>
        <v>0</v>
      </c>
      <c r="F57" s="18">
        <f t="shared" si="4"/>
        <v>0.60999999999999988</v>
      </c>
      <c r="G57" s="18">
        <f t="shared" si="5"/>
        <v>0.44</v>
      </c>
      <c r="H57" s="29">
        <f t="shared" si="6"/>
        <v>1.4379199999999999</v>
      </c>
    </row>
    <row r="58" spans="1:8" ht="15.75" customHeight="1" x14ac:dyDescent="0.25">
      <c r="A58" s="43">
        <f t="shared" si="2"/>
        <v>55</v>
      </c>
      <c r="B58" s="12">
        <v>0.97</v>
      </c>
      <c r="C58" s="18">
        <f t="shared" si="3"/>
        <v>1.1100000000000001</v>
      </c>
      <c r="D58" s="19">
        <f t="shared" si="0"/>
        <v>2.2804000000000002</v>
      </c>
      <c r="E58" s="26">
        <f t="shared" si="1"/>
        <v>0</v>
      </c>
      <c r="F58" s="19">
        <f t="shared" si="4"/>
        <v>0.19999999999999996</v>
      </c>
      <c r="G58" s="18">
        <f t="shared" si="5"/>
        <v>0.44</v>
      </c>
      <c r="H58" s="27">
        <f t="shared" si="6"/>
        <v>1.4379199999999999</v>
      </c>
    </row>
    <row r="59" spans="1:8" ht="15.75" customHeight="1" x14ac:dyDescent="0.25">
      <c r="A59" s="44">
        <f t="shared" si="2"/>
        <v>56</v>
      </c>
      <c r="B59" s="13">
        <v>0.86</v>
      </c>
      <c r="C59" s="18">
        <f t="shared" si="3"/>
        <v>1.1100000000000001</v>
      </c>
      <c r="D59" s="18">
        <f t="shared" si="0"/>
        <v>2.2804000000000002</v>
      </c>
      <c r="E59" s="28">
        <f t="shared" si="1"/>
        <v>0</v>
      </c>
      <c r="F59" s="18">
        <f t="shared" si="4"/>
        <v>0.10999999999999999</v>
      </c>
      <c r="G59" s="18">
        <f t="shared" si="5"/>
        <v>0.44</v>
      </c>
      <c r="H59" s="29">
        <f t="shared" si="6"/>
        <v>1.4379199999999999</v>
      </c>
    </row>
    <row r="60" spans="1:8" ht="15.75" customHeight="1" x14ac:dyDescent="0.25">
      <c r="A60" s="43">
        <f t="shared" si="2"/>
        <v>57</v>
      </c>
      <c r="B60" s="12">
        <v>1.56</v>
      </c>
      <c r="C60" s="18">
        <f t="shared" si="3"/>
        <v>1.1100000000000001</v>
      </c>
      <c r="D60" s="19">
        <f t="shared" si="0"/>
        <v>2.2804000000000002</v>
      </c>
      <c r="E60" s="26">
        <f t="shared" si="1"/>
        <v>0</v>
      </c>
      <c r="F60" s="19">
        <f t="shared" si="4"/>
        <v>0.70000000000000007</v>
      </c>
      <c r="G60" s="18">
        <f t="shared" si="5"/>
        <v>0.44</v>
      </c>
      <c r="H60" s="27">
        <f t="shared" si="6"/>
        <v>1.4379199999999999</v>
      </c>
    </row>
    <row r="61" spans="1:8" ht="15.75" customHeight="1" x14ac:dyDescent="0.25">
      <c r="A61" s="44">
        <f t="shared" si="2"/>
        <v>58</v>
      </c>
      <c r="B61" s="13">
        <v>1.73</v>
      </c>
      <c r="C61" s="18">
        <f t="shared" si="3"/>
        <v>1.1100000000000001</v>
      </c>
      <c r="D61" s="18">
        <f t="shared" si="0"/>
        <v>2.2804000000000002</v>
      </c>
      <c r="E61" s="28">
        <f t="shared" si="1"/>
        <v>0</v>
      </c>
      <c r="F61" s="18">
        <f t="shared" si="4"/>
        <v>0.16999999999999993</v>
      </c>
      <c r="G61" s="18">
        <f t="shared" si="5"/>
        <v>0.44</v>
      </c>
      <c r="H61" s="29">
        <f t="shared" si="6"/>
        <v>1.4379199999999999</v>
      </c>
    </row>
    <row r="62" spans="1:8" ht="15.75" customHeight="1" x14ac:dyDescent="0.25">
      <c r="A62" s="43">
        <f t="shared" si="2"/>
        <v>59</v>
      </c>
      <c r="B62" s="12">
        <v>1.64</v>
      </c>
      <c r="C62" s="18">
        <f t="shared" si="3"/>
        <v>1.1100000000000001</v>
      </c>
      <c r="D62" s="19">
        <f t="shared" si="0"/>
        <v>2.2804000000000002</v>
      </c>
      <c r="E62" s="26">
        <f t="shared" si="1"/>
        <v>0</v>
      </c>
      <c r="F62" s="19">
        <f t="shared" si="4"/>
        <v>9.000000000000008E-2</v>
      </c>
      <c r="G62" s="18">
        <f t="shared" si="5"/>
        <v>0.44</v>
      </c>
      <c r="H62" s="27">
        <f t="shared" si="6"/>
        <v>1.4379199999999999</v>
      </c>
    </row>
    <row r="63" spans="1:8" ht="15.75" customHeight="1" x14ac:dyDescent="0.25">
      <c r="A63" s="45">
        <v>60</v>
      </c>
      <c r="B63" s="22">
        <v>1.49</v>
      </c>
      <c r="C63" s="23">
        <f t="shared" si="3"/>
        <v>1.1100000000000001</v>
      </c>
      <c r="D63" s="23">
        <f t="shared" si="0"/>
        <v>2.2804000000000002</v>
      </c>
      <c r="E63" s="30">
        <f t="shared" si="1"/>
        <v>0</v>
      </c>
      <c r="F63" s="23">
        <f t="shared" si="4"/>
        <v>0.14999999999999991</v>
      </c>
      <c r="G63" s="23">
        <f t="shared" si="5"/>
        <v>0.44</v>
      </c>
      <c r="H63" s="31">
        <f t="shared" si="6"/>
        <v>1.4379199999999999</v>
      </c>
    </row>
    <row r="64" spans="1:8" ht="15.75" customHeight="1" x14ac:dyDescent="0.25"/>
  </sheetData>
  <mergeCells count="6">
    <mergeCell ref="J26:Q35"/>
    <mergeCell ref="J2:Q14"/>
    <mergeCell ref="A1:D1"/>
    <mergeCell ref="G1:H1"/>
    <mergeCell ref="J1:Q1"/>
    <mergeCell ref="J16:Q25"/>
  </mergeCells>
  <conditionalFormatting sqref="B4:B63">
    <cfRule type="cellIs" dxfId="3" priority="3" operator="greaterThan">
      <formula>D4</formula>
    </cfRule>
    <cfRule type="cellIs" dxfId="2" priority="4" operator="equal">
      <formula>E4</formula>
    </cfRule>
  </conditionalFormatting>
  <conditionalFormatting sqref="D4:E63 H4:H63">
    <cfRule type="containsBlanks" dxfId="1" priority="1">
      <formula>LEN(TRIM(D4))=0</formula>
    </cfRule>
  </conditionalFormatting>
  <conditionalFormatting sqref="F5:F63">
    <cfRule type="cellIs" dxfId="0" priority="2" operator="greaterThan">
      <formula>H4</formula>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62"/>
  <sheetViews>
    <sheetView showGridLines="0" workbookViewId="0">
      <selection activeCell="L8" sqref="L8"/>
    </sheetView>
  </sheetViews>
  <sheetFormatPr defaultColWidth="12.6640625" defaultRowHeight="15" customHeight="1" x14ac:dyDescent="0.25"/>
  <cols>
    <col min="1" max="1" width="12.6640625" style="52" customWidth="1"/>
    <col min="2" max="2" width="12.6640625" customWidth="1"/>
    <col min="3" max="3" width="3.21875" customWidth="1"/>
  </cols>
  <sheetData>
    <row r="1" spans="1:8" ht="24.6" x14ac:dyDescent="0.55000000000000004">
      <c r="A1" s="49" t="s">
        <v>4</v>
      </c>
      <c r="B1" s="35" t="s">
        <v>5</v>
      </c>
      <c r="D1" s="73" t="s">
        <v>3</v>
      </c>
      <c r="E1" s="74"/>
      <c r="F1" s="74"/>
      <c r="G1" s="74"/>
      <c r="H1" s="74"/>
    </row>
    <row r="2" spans="1:8" ht="15.75" customHeight="1" x14ac:dyDescent="0.4">
      <c r="A2" s="50">
        <v>1</v>
      </c>
      <c r="B2" s="36">
        <v>0</v>
      </c>
      <c r="D2" s="75" t="s">
        <v>33</v>
      </c>
      <c r="E2" s="76"/>
      <c r="F2" s="76"/>
      <c r="G2" s="76"/>
      <c r="H2" s="77"/>
    </row>
    <row r="3" spans="1:8" ht="15.75" customHeight="1" x14ac:dyDescent="0.4">
      <c r="A3" s="50">
        <f t="shared" ref="A3:A60" si="0">A2+1</f>
        <v>2</v>
      </c>
      <c r="B3" s="36">
        <v>0.82</v>
      </c>
      <c r="D3" s="78"/>
      <c r="E3" s="79"/>
      <c r="F3" s="79"/>
      <c r="G3" s="79"/>
      <c r="H3" s="80"/>
    </row>
    <row r="4" spans="1:8" ht="15.75" customHeight="1" x14ac:dyDescent="0.4">
      <c r="A4" s="50">
        <f t="shared" si="0"/>
        <v>3</v>
      </c>
      <c r="B4" s="36">
        <v>0.98</v>
      </c>
      <c r="D4" s="78"/>
      <c r="E4" s="79"/>
      <c r="F4" s="79"/>
      <c r="G4" s="79"/>
      <c r="H4" s="80"/>
    </row>
    <row r="5" spans="1:8" ht="15.75" customHeight="1" x14ac:dyDescent="0.4">
      <c r="A5" s="50">
        <f t="shared" si="0"/>
        <v>4</v>
      </c>
      <c r="B5" s="36">
        <v>0.89</v>
      </c>
      <c r="D5" s="81"/>
      <c r="E5" s="82"/>
      <c r="F5" s="82"/>
      <c r="G5" s="82"/>
      <c r="H5" s="83"/>
    </row>
    <row r="6" spans="1:8" ht="15.75" customHeight="1" x14ac:dyDescent="0.4">
      <c r="A6" s="50">
        <f t="shared" si="0"/>
        <v>5</v>
      </c>
      <c r="B6" s="36">
        <v>1.76</v>
      </c>
      <c r="D6" s="59"/>
      <c r="E6" s="59"/>
      <c r="F6" s="59"/>
      <c r="G6" s="59"/>
      <c r="H6" s="59"/>
    </row>
    <row r="7" spans="1:8" ht="15.75" customHeight="1" x14ac:dyDescent="0.4">
      <c r="A7" s="50">
        <f t="shared" si="0"/>
        <v>6</v>
      </c>
      <c r="B7" s="36">
        <v>1.1200000000000001</v>
      </c>
      <c r="D7" s="59"/>
      <c r="E7" s="59"/>
      <c r="F7" s="59"/>
      <c r="G7" s="59"/>
      <c r="H7" s="59"/>
    </row>
    <row r="8" spans="1:8" ht="15.75" customHeight="1" x14ac:dyDescent="0.4">
      <c r="A8" s="50">
        <f t="shared" si="0"/>
        <v>7</v>
      </c>
      <c r="B8" s="36">
        <v>0.98</v>
      </c>
      <c r="D8" s="59"/>
      <c r="E8" s="59"/>
      <c r="F8" s="59"/>
      <c r="G8" s="59"/>
      <c r="H8" s="59"/>
    </row>
    <row r="9" spans="1:8" ht="15.75" customHeight="1" x14ac:dyDescent="0.4">
      <c r="A9" s="50">
        <f t="shared" si="0"/>
        <v>8</v>
      </c>
      <c r="B9" s="36">
        <v>1.72</v>
      </c>
      <c r="D9" s="59"/>
      <c r="E9" s="59"/>
      <c r="F9" s="59"/>
      <c r="G9" s="59"/>
      <c r="H9" s="59"/>
    </row>
    <row r="10" spans="1:8" ht="15.75" customHeight="1" x14ac:dyDescent="0.4">
      <c r="A10" s="50">
        <f t="shared" si="0"/>
        <v>9</v>
      </c>
      <c r="B10" s="36">
        <v>0.76</v>
      </c>
      <c r="D10" s="59"/>
      <c r="E10" s="59"/>
      <c r="F10" s="59"/>
      <c r="G10" s="59"/>
      <c r="H10" s="59"/>
    </row>
    <row r="11" spans="1:8" ht="15.75" customHeight="1" x14ac:dyDescent="0.4">
      <c r="A11" s="50">
        <f t="shared" si="0"/>
        <v>10</v>
      </c>
      <c r="B11" s="36">
        <v>0.81</v>
      </c>
      <c r="D11" s="59"/>
      <c r="E11" s="59"/>
      <c r="F11" s="59"/>
      <c r="G11" s="59"/>
      <c r="H11" s="59"/>
    </row>
    <row r="12" spans="1:8" ht="15.75" customHeight="1" x14ac:dyDescent="0.4">
      <c r="A12" s="50">
        <f t="shared" si="0"/>
        <v>11</v>
      </c>
      <c r="B12" s="36">
        <v>1.43</v>
      </c>
      <c r="D12" s="59"/>
      <c r="E12" s="59"/>
      <c r="F12" s="59"/>
      <c r="G12" s="59"/>
      <c r="H12" s="59"/>
    </row>
    <row r="13" spans="1:8" ht="15.75" customHeight="1" x14ac:dyDescent="0.4">
      <c r="A13" s="50">
        <f t="shared" si="0"/>
        <v>12</v>
      </c>
      <c r="B13" s="36">
        <v>0.81</v>
      </c>
      <c r="D13" s="59"/>
      <c r="E13" s="59"/>
      <c r="F13" s="59"/>
      <c r="G13" s="59"/>
      <c r="H13" s="59"/>
    </row>
    <row r="14" spans="1:8" ht="15.75" customHeight="1" x14ac:dyDescent="0.4">
      <c r="A14" s="50">
        <f t="shared" si="0"/>
        <v>13</v>
      </c>
      <c r="B14" s="36">
        <v>0.86</v>
      </c>
      <c r="D14" s="59"/>
      <c r="E14" s="59"/>
      <c r="F14" s="59"/>
      <c r="G14" s="59"/>
      <c r="H14" s="59"/>
    </row>
    <row r="15" spans="1:8" ht="15.75" customHeight="1" x14ac:dyDescent="0.4">
      <c r="A15" s="50">
        <f t="shared" si="0"/>
        <v>14</v>
      </c>
      <c r="B15" s="36">
        <v>0.79</v>
      </c>
      <c r="D15" s="59"/>
      <c r="E15" s="59"/>
      <c r="F15" s="59"/>
      <c r="G15" s="59"/>
      <c r="H15" s="59"/>
    </row>
    <row r="16" spans="1:8" ht="15.75" customHeight="1" x14ac:dyDescent="0.4">
      <c r="A16" s="50">
        <f t="shared" si="0"/>
        <v>15</v>
      </c>
      <c r="B16" s="36">
        <v>1.25</v>
      </c>
      <c r="D16" s="59"/>
      <c r="E16" s="59"/>
      <c r="F16" s="59"/>
      <c r="G16" s="59"/>
      <c r="H16" s="59"/>
    </row>
    <row r="17" spans="1:8" ht="15.75" customHeight="1" x14ac:dyDescent="0.4">
      <c r="A17" s="50">
        <f t="shared" si="0"/>
        <v>16</v>
      </c>
      <c r="B17" s="36">
        <v>0.79</v>
      </c>
      <c r="D17" s="59"/>
      <c r="E17" s="59"/>
      <c r="F17" s="59"/>
      <c r="G17" s="59"/>
      <c r="H17" s="59"/>
    </row>
    <row r="18" spans="1:8" ht="15.75" customHeight="1" x14ac:dyDescent="0.4">
      <c r="A18" s="50">
        <f t="shared" si="0"/>
        <v>17</v>
      </c>
      <c r="B18" s="36">
        <v>0.99</v>
      </c>
      <c r="D18" s="59"/>
      <c r="E18" s="59"/>
      <c r="F18" s="59"/>
      <c r="G18" s="59"/>
      <c r="H18" s="59"/>
    </row>
    <row r="19" spans="1:8" ht="15.75" customHeight="1" x14ac:dyDescent="0.4">
      <c r="A19" s="50">
        <f t="shared" si="0"/>
        <v>18</v>
      </c>
      <c r="B19" s="36">
        <v>0.98</v>
      </c>
      <c r="D19" s="59"/>
      <c r="E19" s="59"/>
      <c r="F19" s="59"/>
      <c r="G19" s="59"/>
      <c r="H19" s="59"/>
    </row>
    <row r="20" spans="1:8" ht="15.75" customHeight="1" x14ac:dyDescent="0.4">
      <c r="A20" s="50">
        <f t="shared" si="0"/>
        <v>19</v>
      </c>
      <c r="B20" s="36">
        <v>1.74</v>
      </c>
      <c r="D20" s="59"/>
      <c r="E20" s="59"/>
      <c r="F20" s="59"/>
      <c r="G20" s="59"/>
      <c r="H20" s="59"/>
    </row>
    <row r="21" spans="1:8" ht="15.75" customHeight="1" x14ac:dyDescent="0.4">
      <c r="A21" s="50">
        <f t="shared" si="0"/>
        <v>20</v>
      </c>
      <c r="B21" s="36">
        <v>0.87</v>
      </c>
    </row>
    <row r="22" spans="1:8" ht="15.75" customHeight="1" x14ac:dyDescent="0.4">
      <c r="A22" s="50">
        <f t="shared" si="0"/>
        <v>21</v>
      </c>
      <c r="B22" s="36">
        <v>0.93</v>
      </c>
    </row>
    <row r="23" spans="1:8" ht="15.75" customHeight="1" x14ac:dyDescent="0.4">
      <c r="A23" s="50">
        <f t="shared" si="0"/>
        <v>22</v>
      </c>
      <c r="B23" s="36">
        <v>1.22</v>
      </c>
    </row>
    <row r="24" spans="1:8" ht="15.75" customHeight="1" x14ac:dyDescent="0.4">
      <c r="A24" s="50">
        <f t="shared" si="0"/>
        <v>23</v>
      </c>
      <c r="B24" s="36">
        <v>1.24</v>
      </c>
    </row>
    <row r="25" spans="1:8" ht="15.75" customHeight="1" x14ac:dyDescent="0.4">
      <c r="A25" s="50">
        <f t="shared" si="0"/>
        <v>24</v>
      </c>
      <c r="B25" s="36">
        <v>1.26</v>
      </c>
    </row>
    <row r="26" spans="1:8" ht="15.75" customHeight="1" x14ac:dyDescent="0.4">
      <c r="A26" s="50">
        <f t="shared" si="0"/>
        <v>25</v>
      </c>
      <c r="B26" s="36">
        <v>0</v>
      </c>
    </row>
    <row r="27" spans="1:8" ht="15.75" customHeight="1" x14ac:dyDescent="0.4">
      <c r="A27" s="50">
        <f t="shared" si="0"/>
        <v>26</v>
      </c>
      <c r="B27" s="36">
        <v>1.0900000000000001</v>
      </c>
    </row>
    <row r="28" spans="1:8" ht="15.75" customHeight="1" x14ac:dyDescent="0.4">
      <c r="A28" s="50">
        <f t="shared" si="0"/>
        <v>27</v>
      </c>
      <c r="B28" s="36">
        <v>1.17</v>
      </c>
    </row>
    <row r="29" spans="1:8" ht="15.75" customHeight="1" x14ac:dyDescent="0.4">
      <c r="A29" s="50">
        <f t="shared" si="0"/>
        <v>28</v>
      </c>
      <c r="B29" s="36">
        <v>0.88</v>
      </c>
    </row>
    <row r="30" spans="1:8" ht="15.75" customHeight="1" x14ac:dyDescent="0.4">
      <c r="A30" s="50">
        <f t="shared" si="0"/>
        <v>29</v>
      </c>
      <c r="B30" s="36">
        <v>1.1299999999999999</v>
      </c>
    </row>
    <row r="31" spans="1:8" ht="15.75" customHeight="1" x14ac:dyDescent="0.4">
      <c r="A31" s="50">
        <f t="shared" si="0"/>
        <v>30</v>
      </c>
      <c r="B31" s="36">
        <v>1.81</v>
      </c>
    </row>
    <row r="32" spans="1:8" ht="15.75" customHeight="1" x14ac:dyDescent="0.4">
      <c r="A32" s="50">
        <f t="shared" si="0"/>
        <v>31</v>
      </c>
      <c r="B32" s="36">
        <v>1.17</v>
      </c>
    </row>
    <row r="33" spans="1:2" ht="15.75" customHeight="1" x14ac:dyDescent="0.4">
      <c r="A33" s="50">
        <f t="shared" si="0"/>
        <v>32</v>
      </c>
      <c r="B33" s="36">
        <v>1.74</v>
      </c>
    </row>
    <row r="34" spans="1:2" ht="15.75" customHeight="1" x14ac:dyDescent="0.4">
      <c r="A34" s="50">
        <f t="shared" si="0"/>
        <v>33</v>
      </c>
      <c r="B34" s="36">
        <v>0.81</v>
      </c>
    </row>
    <row r="35" spans="1:2" ht="15.75" customHeight="1" x14ac:dyDescent="0.4">
      <c r="A35" s="50">
        <f t="shared" si="0"/>
        <v>34</v>
      </c>
      <c r="B35" s="36">
        <v>1.28</v>
      </c>
    </row>
    <row r="36" spans="1:2" ht="15.75" customHeight="1" x14ac:dyDescent="0.4">
      <c r="A36" s="50">
        <f t="shared" si="0"/>
        <v>35</v>
      </c>
      <c r="B36" s="36">
        <v>0</v>
      </c>
    </row>
    <row r="37" spans="1:2" ht="15.75" customHeight="1" x14ac:dyDescent="0.4">
      <c r="A37" s="50">
        <f t="shared" si="0"/>
        <v>36</v>
      </c>
      <c r="B37" s="36">
        <v>1.1100000000000001</v>
      </c>
    </row>
    <row r="38" spans="1:2" ht="15.75" customHeight="1" x14ac:dyDescent="0.4">
      <c r="A38" s="50">
        <f t="shared" si="0"/>
        <v>37</v>
      </c>
      <c r="B38" s="36">
        <v>1.17</v>
      </c>
    </row>
    <row r="39" spans="1:2" ht="15.75" customHeight="1" x14ac:dyDescent="0.4">
      <c r="A39" s="50">
        <f t="shared" si="0"/>
        <v>38</v>
      </c>
      <c r="B39" s="36">
        <v>1.22</v>
      </c>
    </row>
    <row r="40" spans="1:2" ht="15.75" customHeight="1" x14ac:dyDescent="0.4">
      <c r="A40" s="50">
        <f t="shared" si="0"/>
        <v>39</v>
      </c>
      <c r="B40" s="36">
        <v>1.26</v>
      </c>
    </row>
    <row r="41" spans="1:2" ht="15.75" customHeight="1" x14ac:dyDescent="0.4">
      <c r="A41" s="50">
        <f t="shared" si="0"/>
        <v>40</v>
      </c>
      <c r="B41" s="36">
        <v>1.01</v>
      </c>
    </row>
    <row r="42" spans="1:2" ht="15.75" customHeight="1" x14ac:dyDescent="0.4">
      <c r="A42" s="50">
        <f t="shared" si="0"/>
        <v>41</v>
      </c>
      <c r="B42" s="36">
        <v>2.62</v>
      </c>
    </row>
    <row r="43" spans="1:2" ht="15.75" customHeight="1" x14ac:dyDescent="0.4">
      <c r="A43" s="50">
        <f t="shared" si="0"/>
        <v>42</v>
      </c>
      <c r="B43" s="36">
        <v>1.44</v>
      </c>
    </row>
    <row r="44" spans="1:2" ht="15.75" customHeight="1" x14ac:dyDescent="0.4">
      <c r="A44" s="50">
        <f t="shared" si="0"/>
        <v>43</v>
      </c>
      <c r="B44" s="36">
        <v>1.24</v>
      </c>
    </row>
    <row r="45" spans="1:2" ht="15.75" customHeight="1" x14ac:dyDescent="0.4">
      <c r="A45" s="50">
        <f t="shared" si="0"/>
        <v>44</v>
      </c>
      <c r="B45" s="36">
        <v>1.05</v>
      </c>
    </row>
    <row r="46" spans="1:2" ht="15.75" customHeight="1" x14ac:dyDescent="0.4">
      <c r="A46" s="50">
        <f t="shared" si="0"/>
        <v>45</v>
      </c>
      <c r="B46" s="36">
        <v>1.02</v>
      </c>
    </row>
    <row r="47" spans="1:2" ht="15.75" customHeight="1" x14ac:dyDescent="0.4">
      <c r="A47" s="50">
        <f t="shared" si="0"/>
        <v>46</v>
      </c>
      <c r="B47" s="36">
        <v>0.99</v>
      </c>
    </row>
    <row r="48" spans="1:2" ht="15.75" customHeight="1" x14ac:dyDescent="0.4">
      <c r="A48" s="50">
        <f t="shared" si="0"/>
        <v>47</v>
      </c>
      <c r="B48" s="36">
        <v>0.9</v>
      </c>
    </row>
    <row r="49" spans="1:2" ht="15.75" customHeight="1" x14ac:dyDescent="0.4">
      <c r="A49" s="50">
        <f t="shared" si="0"/>
        <v>48</v>
      </c>
      <c r="B49" s="36">
        <v>0</v>
      </c>
    </row>
    <row r="50" spans="1:2" ht="15.75" customHeight="1" x14ac:dyDescent="0.4">
      <c r="A50" s="50">
        <f t="shared" si="0"/>
        <v>49</v>
      </c>
      <c r="B50" s="36">
        <v>1.1200000000000001</v>
      </c>
    </row>
    <row r="51" spans="1:2" ht="15.75" customHeight="1" x14ac:dyDescent="0.4">
      <c r="A51" s="50">
        <f t="shared" si="0"/>
        <v>50</v>
      </c>
      <c r="B51" s="36">
        <v>1.23</v>
      </c>
    </row>
    <row r="52" spans="1:2" ht="15.75" customHeight="1" x14ac:dyDescent="0.4">
      <c r="A52" s="50">
        <f t="shared" si="0"/>
        <v>51</v>
      </c>
      <c r="B52" s="36">
        <v>1.18</v>
      </c>
    </row>
    <row r="53" spans="1:2" ht="15.75" customHeight="1" x14ac:dyDescent="0.4">
      <c r="A53" s="50">
        <f t="shared" si="0"/>
        <v>52</v>
      </c>
      <c r="B53" s="36">
        <v>1.42</v>
      </c>
    </row>
    <row r="54" spans="1:2" ht="15.75" customHeight="1" x14ac:dyDescent="0.4">
      <c r="A54" s="50">
        <f t="shared" si="0"/>
        <v>53</v>
      </c>
      <c r="B54" s="36">
        <v>1.38</v>
      </c>
    </row>
    <row r="55" spans="1:2" ht="15.75" customHeight="1" x14ac:dyDescent="0.4">
      <c r="A55" s="50">
        <f t="shared" si="0"/>
        <v>54</v>
      </c>
      <c r="B55" s="36">
        <v>0.77</v>
      </c>
    </row>
    <row r="56" spans="1:2" ht="15.75" customHeight="1" x14ac:dyDescent="0.4">
      <c r="A56" s="50">
        <f t="shared" si="0"/>
        <v>55</v>
      </c>
      <c r="B56" s="36">
        <v>0.97</v>
      </c>
    </row>
    <row r="57" spans="1:2" ht="15.75" customHeight="1" x14ac:dyDescent="0.4">
      <c r="A57" s="50">
        <f t="shared" si="0"/>
        <v>56</v>
      </c>
      <c r="B57" s="36">
        <v>0.86</v>
      </c>
    </row>
    <row r="58" spans="1:2" ht="15.75" customHeight="1" x14ac:dyDescent="0.4">
      <c r="A58" s="50">
        <f t="shared" si="0"/>
        <v>57</v>
      </c>
      <c r="B58" s="36">
        <v>1.56</v>
      </c>
    </row>
    <row r="59" spans="1:2" ht="15.75" customHeight="1" x14ac:dyDescent="0.4">
      <c r="A59" s="50">
        <f t="shared" si="0"/>
        <v>58</v>
      </c>
      <c r="B59" s="36">
        <v>1.73</v>
      </c>
    </row>
    <row r="60" spans="1:2" ht="15.75" customHeight="1" x14ac:dyDescent="0.4">
      <c r="A60" s="50">
        <f t="shared" si="0"/>
        <v>59</v>
      </c>
      <c r="B60" s="36">
        <v>1.64</v>
      </c>
    </row>
    <row r="61" spans="1:2" ht="15.75" customHeight="1" x14ac:dyDescent="0.4">
      <c r="A61" s="51">
        <v>60</v>
      </c>
      <c r="B61" s="37">
        <v>1.49</v>
      </c>
    </row>
    <row r="62" spans="1:2" ht="15.75" customHeight="1" x14ac:dyDescent="0.25"/>
  </sheetData>
  <mergeCells count="2">
    <mergeCell ref="D1:H1"/>
    <mergeCell ref="D2: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Step 1</vt:lpstr>
      <vt:lpstr>Step 2</vt:lpstr>
      <vt:lpstr>Step 3</vt:lpstr>
      <vt:lpstr>Step 4</vt:lpstr>
      <vt:lpstr>Step 5</vt:lpstr>
      <vt:lpstr>Step 6</vt:lpstr>
      <vt:lpstr>RESULTS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2025-12-18T15:11:43Z</dcterms:modified>
</cp:coreProperties>
</file>